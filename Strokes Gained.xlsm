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dysonthacker/Documents/From Old Computer/"/>
    </mc:Choice>
  </mc:AlternateContent>
  <xr:revisionPtr revIDLastSave="0" documentId="13_ncr:1_{476840DB-E309-C648-AE79-9BEE7246AE06}" xr6:coauthVersionLast="47" xr6:coauthVersionMax="47" xr10:uidLastSave="{00000000-0000-0000-0000-000000000000}"/>
  <bookViews>
    <workbookView xWindow="0" yWindow="880" windowWidth="36000" windowHeight="20880" xr2:uid="{C262A66C-DFE9-4EB0-9F34-11BB9B03D13D}"/>
  </bookViews>
  <sheets>
    <sheet name="READ ME" sheetId="17" r:id="rId1"/>
    <sheet name="Lie Table" sheetId="4" r:id="rId2"/>
    <sheet name="PGA Shot Table" sheetId="2" r:id="rId3"/>
    <sheet name="Template" sheetId="1" r:id="rId4"/>
    <sheet name="Example" sheetId="6" r:id="rId5"/>
    <sheet name="Example PivotTable" sheetId="19" r:id="rId6"/>
  </sheet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3" i="1" l="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2" i="1"/>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3" i="6"/>
  <c r="C4" i="6"/>
  <c r="C5" i="6"/>
  <c r="C2" i="6"/>
  <c r="E3" i="6"/>
  <c r="F3" i="6" s="1"/>
  <c r="E4" i="6"/>
  <c r="E5" i="6"/>
  <c r="E6" i="6"/>
  <c r="F6" i="6" s="1"/>
  <c r="E7" i="6"/>
  <c r="E8" i="6"/>
  <c r="E9" i="6"/>
  <c r="E10" i="6"/>
  <c r="F10" i="6" s="1"/>
  <c r="E11" i="6"/>
  <c r="F11" i="6" s="1"/>
  <c r="E12" i="6"/>
  <c r="E13" i="6"/>
  <c r="E14" i="6"/>
  <c r="E15" i="6"/>
  <c r="F15" i="6" s="1"/>
  <c r="E16" i="6"/>
  <c r="E17" i="6"/>
  <c r="E18" i="6"/>
  <c r="E19" i="6"/>
  <c r="E20" i="6"/>
  <c r="F20" i="6" s="1"/>
  <c r="E21" i="6"/>
  <c r="E22" i="6"/>
  <c r="E23" i="6"/>
  <c r="E24" i="6"/>
  <c r="E25" i="6"/>
  <c r="F25" i="6" s="1"/>
  <c r="E26" i="6"/>
  <c r="E27" i="6"/>
  <c r="F27" i="6" s="1"/>
  <c r="E28" i="6"/>
  <c r="E29" i="6"/>
  <c r="E30" i="6"/>
  <c r="F30" i="6" s="1"/>
  <c r="E31" i="6"/>
  <c r="E32" i="6"/>
  <c r="E33" i="6"/>
  <c r="E34" i="6"/>
  <c r="E35" i="6"/>
  <c r="F35" i="6" s="1"/>
  <c r="E36" i="6"/>
  <c r="E37" i="6"/>
  <c r="F37" i="6" s="1"/>
  <c r="E38" i="6"/>
  <c r="E39" i="6"/>
  <c r="E40" i="6"/>
  <c r="F40" i="6" s="1"/>
  <c r="E41" i="6"/>
  <c r="E42" i="6"/>
  <c r="E43" i="6"/>
  <c r="F43" i="6" s="1"/>
  <c r="E44" i="6"/>
  <c r="F44" i="6" s="1"/>
  <c r="E45" i="6"/>
  <c r="E46" i="6"/>
  <c r="E47" i="6"/>
  <c r="E48" i="6"/>
  <c r="E49" i="6"/>
  <c r="F49" i="6" s="1"/>
  <c r="E50" i="6"/>
  <c r="E51" i="6"/>
  <c r="F51" i="6" s="1"/>
  <c r="E52" i="6"/>
  <c r="F52" i="6" s="1"/>
  <c r="E53" i="6"/>
  <c r="E54" i="6"/>
  <c r="E55" i="6"/>
  <c r="E56" i="6"/>
  <c r="E57" i="6"/>
  <c r="E58" i="6"/>
  <c r="F58" i="6" s="1"/>
  <c r="E59" i="6"/>
  <c r="F59" i="6" s="1"/>
  <c r="E60" i="6"/>
  <c r="E61" i="6"/>
  <c r="E62" i="6"/>
  <c r="E63" i="6"/>
  <c r="F63" i="6" s="1"/>
  <c r="E64" i="6"/>
  <c r="E65" i="6"/>
  <c r="E66" i="6"/>
  <c r="E67" i="6"/>
  <c r="F67" i="6" s="1"/>
  <c r="E68" i="6"/>
  <c r="F68" i="6" s="1"/>
  <c r="E69" i="6"/>
  <c r="E70" i="6"/>
  <c r="E71" i="6"/>
  <c r="F71" i="6" s="1"/>
  <c r="E72" i="6"/>
  <c r="E73" i="6"/>
  <c r="E74" i="6"/>
  <c r="E75" i="6"/>
  <c r="F75" i="6" s="1"/>
  <c r="E76" i="6"/>
  <c r="F76" i="6" s="1"/>
  <c r="E77" i="6"/>
  <c r="E78" i="6"/>
  <c r="E79" i="6"/>
  <c r="E80" i="6"/>
  <c r="F80" i="6" s="1"/>
  <c r="E81" i="6"/>
  <c r="E82" i="6"/>
  <c r="E83" i="6"/>
  <c r="F83" i="6" s="1"/>
  <c r="E2" i="6"/>
  <c r="F2" i="6" s="1"/>
  <c r="E5" i="1"/>
  <c r="E6" i="1"/>
  <c r="E7" i="1"/>
  <c r="E8" i="1"/>
  <c r="E2" i="1"/>
  <c r="E3" i="1"/>
  <c r="E4"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F8" i="6" l="1"/>
  <c r="F70" i="6"/>
  <c r="F54" i="6"/>
  <c r="F22" i="6"/>
  <c r="F14" i="6"/>
  <c r="F19" i="6"/>
  <c r="F81" i="6"/>
  <c r="F57" i="6"/>
  <c r="F9" i="6"/>
  <c r="F73" i="6"/>
  <c r="F33" i="6"/>
  <c r="F65" i="6"/>
  <c r="F41" i="6"/>
  <c r="F17" i="6"/>
  <c r="F48" i="6"/>
  <c r="F32" i="6"/>
  <c r="F24" i="6"/>
  <c r="F16" i="6"/>
  <c r="F79" i="6"/>
  <c r="F64" i="6"/>
  <c r="F56" i="6"/>
  <c r="F7" i="6"/>
  <c r="F77" i="6"/>
  <c r="F69" i="6"/>
  <c r="F61" i="6"/>
  <c r="F53" i="6"/>
  <c r="F45" i="6"/>
  <c r="F29" i="6"/>
  <c r="F21" i="6"/>
  <c r="F13" i="6"/>
  <c r="F5" i="6"/>
  <c r="F60" i="6"/>
  <c r="F36" i="6"/>
  <c r="F28" i="6"/>
  <c r="F12" i="6"/>
  <c r="F4" i="6"/>
  <c r="F82" i="6"/>
  <c r="F74" i="6"/>
  <c r="F66" i="6"/>
  <c r="F50" i="6"/>
  <c r="F42" i="6"/>
  <c r="F34" i="6"/>
  <c r="F26" i="6"/>
  <c r="F18" i="6"/>
  <c r="F55" i="6"/>
  <c r="F47" i="6"/>
  <c r="F39" i="6"/>
  <c r="F31" i="6"/>
  <c r="F23" i="6"/>
  <c r="F78" i="6"/>
  <c r="F62" i="6"/>
  <c r="F46" i="6"/>
  <c r="F38" i="6"/>
  <c r="F2" i="1"/>
</calcChain>
</file>

<file path=xl/sharedStrings.xml><?xml version="1.0" encoding="utf-8"?>
<sst xmlns="http://schemas.openxmlformats.org/spreadsheetml/2006/main" count="185" uniqueCount="49">
  <si>
    <t>Distance</t>
  </si>
  <si>
    <t>Tee</t>
  </si>
  <si>
    <t>Fairway</t>
  </si>
  <si>
    <t>Rough</t>
  </si>
  <si>
    <t>Sand</t>
  </si>
  <si>
    <t>Recovery</t>
  </si>
  <si>
    <t>Putt</t>
  </si>
  <si>
    <t>Hole 1</t>
  </si>
  <si>
    <t>Hole 2</t>
  </si>
  <si>
    <t>Hole 3</t>
  </si>
  <si>
    <t>Hole 4</t>
  </si>
  <si>
    <t>Hole 5</t>
  </si>
  <si>
    <t>Hole 6</t>
  </si>
  <si>
    <t>Hole 7</t>
  </si>
  <si>
    <t>Hole 8</t>
  </si>
  <si>
    <t>Hole 9</t>
  </si>
  <si>
    <t>Hole 10</t>
  </si>
  <si>
    <t>Hole 11</t>
  </si>
  <si>
    <t>Hole 12</t>
  </si>
  <si>
    <t>Hole 13</t>
  </si>
  <si>
    <t>Hole 14</t>
  </si>
  <si>
    <t>Hole 15</t>
  </si>
  <si>
    <t>Hole 16</t>
  </si>
  <si>
    <t>Hole 17</t>
  </si>
  <si>
    <t>Hole 18</t>
  </si>
  <si>
    <t>Yardage</t>
  </si>
  <si>
    <t>Lie</t>
  </si>
  <si>
    <t>SG</t>
  </si>
  <si>
    <t>Avg Shots</t>
  </si>
  <si>
    <t>Sum of SG</t>
  </si>
  <si>
    <t>Column Labels</t>
  </si>
  <si>
    <t>(blank)</t>
  </si>
  <si>
    <t>Grand Total</t>
  </si>
  <si>
    <t>Row Labels</t>
  </si>
  <si>
    <t>Yardage Group</t>
  </si>
  <si>
    <t>&gt;230</t>
  </si>
  <si>
    <t>110-230</t>
  </si>
  <si>
    <t>25-50</t>
  </si>
  <si>
    <t>50-110</t>
  </si>
  <si>
    <t>0-8</t>
  </si>
  <si>
    <t>15-25</t>
  </si>
  <si>
    <t>8-15</t>
  </si>
  <si>
    <t>To begin entering a round, copy the template page (right click the tab, click *move or copy*, click the *create a copy* box, and then hit *okay*)</t>
  </si>
  <si>
    <t>Enter your yardages into column B, and then your lies into column D. Enter putts in feet and all other shots in yards. MAKE SURE TO DELETE BLANK ROWS.</t>
  </si>
  <si>
    <t>Happy golfing.</t>
  </si>
  <si>
    <t xml:space="preserve">Hello! Thanks for trying out my tool. I hope it gives you good insight into the strengths and weaknesses of your golf game.
</t>
  </si>
  <si>
    <t>After yardages have been entered, grab the formula in cell F2 and drag it all the way down. (if you had any penalty shots you should take the given value and subtract it by one. Example on hole 16 in the example)</t>
  </si>
  <si>
    <t>Now to get some useful knowledge from your round you need to create a pivot table. I made a macro that does this. You may need to unblock the security feature in order to use the macro. Highlight your shots, hit the 'Macros' button, and then click 'Golf_PT'</t>
  </si>
  <si>
    <t>This spreadsheet calculates the strokes you have lost/gained in a given category compared to the baseline of a PGA TOUR golfer. In order to use it you need to have some Excel knowledge but if you're willing to learn even just a little bit you will be fine.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</si>
</sst>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pivotButton="1"/>
    <xf numFmtId="2" fontId="0" fillId="0" borderId="0" xfId="0" applyNumberFormat="1"/>
    <xf numFmtId="0" fontId="0" fillId="0" borderId="0" xfId="0" applyAlignment="1">
      <alignment horizontal="left"/>
    </xf>
    <xf numFmtId="0" fontId="0" fillId="0" borderId="0" xfId="0" applyAlignment="1">
      <alignment vertical="top" wrapText="1"/>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cker, Dyson" refreshedDate="44741.658466550929" createdVersion="7" refreshedVersion="7" minRefreshableVersion="3" recordCount="83" xr:uid="{55AFDCC9-16FB-4287-B20B-0C1CEAA415A9}">
  <cacheSource type="worksheet">
    <worksheetSource ref="B1:F1048576" sheet="Example"/>
  </cacheSource>
  <cacheFields count="5">
    <cacheField name="Yardage" numFmtId="0">
      <sharedItems containsString="0" containsBlank="1" containsNumber="1" containsInteger="1" minValue="1" maxValue="530"/>
    </cacheField>
    <cacheField name="Yardage Group" numFmtId="0">
      <sharedItems containsBlank="1" count="8">
        <s v="&gt;230"/>
        <s v="110-230"/>
        <s v="15-25"/>
        <s v="0-8"/>
        <s v="25-50"/>
        <s v="8-15"/>
        <s v="50-110"/>
        <m/>
      </sharedItems>
    </cacheField>
    <cacheField name="Lie" numFmtId="0">
      <sharedItems containsBlank="1" count="6">
        <s v="Tee"/>
        <s v="Rough"/>
        <s v="Fairway"/>
        <s v="Putt"/>
        <s v="Recovery"/>
        <m/>
      </sharedItems>
    </cacheField>
    <cacheField name="Avg Shots" numFmtId="0">
      <sharedItems containsString="0" containsBlank="1" containsNumber="1" minValue="1.01" maxValue="4.5999999999999996"/>
    </cacheField>
    <cacheField name="SG" numFmtId="0">
      <sharedItems containsString="0" containsBlank="1" containsNumber="1" minValue="-2" maxValue="1.140000000000000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
  <r>
    <n v="410"/>
    <x v="0"/>
    <x v="0"/>
    <n v="4.01"/>
    <n v="-0.11000000000000032"/>
  </r>
  <r>
    <n v="130"/>
    <x v="1"/>
    <x v="1"/>
    <n v="3.12"/>
    <n v="-0.2799999999999998"/>
  </r>
  <r>
    <n v="20"/>
    <x v="2"/>
    <x v="2"/>
    <n v="2.4"/>
    <n v="0.16999999999999993"/>
  </r>
  <r>
    <n v="5"/>
    <x v="3"/>
    <x v="3"/>
    <n v="1.23"/>
    <n v="-0.81"/>
  </r>
  <r>
    <n v="3"/>
    <x v="3"/>
    <x v="3"/>
    <n v="1.04"/>
    <n v="4.0000000000000036E-2"/>
  </r>
  <r>
    <n v="150"/>
    <x v="1"/>
    <x v="2"/>
    <n v="2.95"/>
    <n v="-2.9999999999999805E-2"/>
  </r>
  <r>
    <n v="30"/>
    <x v="4"/>
    <x v="3"/>
    <n v="1.98"/>
    <n v="-0.14999999999999991"/>
  </r>
  <r>
    <n v="4"/>
    <x v="3"/>
    <x v="3"/>
    <n v="1.1299999999999999"/>
    <n v="-0.91000000000000014"/>
  </r>
  <r>
    <n v="3"/>
    <x v="3"/>
    <x v="3"/>
    <n v="1.04"/>
    <n v="4.0000000000000036E-2"/>
  </r>
  <r>
    <n v="505"/>
    <x v="0"/>
    <x v="0"/>
    <n v="4.45"/>
    <n v="-0.62000000000000011"/>
  </r>
  <r>
    <n v="270"/>
    <x v="0"/>
    <x v="4"/>
    <n v="4.07"/>
    <n v="-0.23999999999999977"/>
  </r>
  <r>
    <n v="180"/>
    <x v="1"/>
    <x v="1"/>
    <n v="3.31"/>
    <n v="-0.35999999999999988"/>
  </r>
  <r>
    <n v="30"/>
    <x v="4"/>
    <x v="1"/>
    <n v="2.67"/>
    <n v="0.65999999999999992"/>
  </r>
  <r>
    <n v="1"/>
    <x v="3"/>
    <x v="3"/>
    <n v="1.01"/>
    <n v="1.0000000000000009E-2"/>
  </r>
  <r>
    <n v="405"/>
    <x v="0"/>
    <x v="0"/>
    <n v="4"/>
    <n v="2.0000000000000018E-2"/>
  </r>
  <r>
    <n v="160"/>
    <x v="1"/>
    <x v="2"/>
    <n v="2.98"/>
    <n v="-0.31999999999999984"/>
  </r>
  <r>
    <n v="15"/>
    <x v="5"/>
    <x v="2"/>
    <n v="2.2999999999999998"/>
    <n v="0.16999999999999993"/>
  </r>
  <r>
    <n v="4"/>
    <x v="3"/>
    <x v="3"/>
    <n v="1.1299999999999999"/>
    <n v="-0.89000000000000012"/>
  </r>
  <r>
    <n v="2"/>
    <x v="3"/>
    <x v="3"/>
    <n v="1.02"/>
    <n v="2.0000000000000018E-2"/>
  </r>
  <r>
    <n v="525"/>
    <x v="0"/>
    <x v="0"/>
    <n v="4.57"/>
    <n v="-9.9999999999997868E-3"/>
  </r>
  <r>
    <n v="260"/>
    <x v="0"/>
    <x v="2"/>
    <n v="3.58"/>
    <n v="-0.37000000000000011"/>
  </r>
  <r>
    <n v="150"/>
    <x v="1"/>
    <x v="2"/>
    <n v="2.95"/>
    <n v="-0.82999999999999963"/>
  </r>
  <r>
    <n v="40"/>
    <x v="4"/>
    <x v="1"/>
    <n v="2.78"/>
    <n v="0.54999999999999982"/>
  </r>
  <r>
    <n v="5"/>
    <x v="3"/>
    <x v="3"/>
    <n v="1.23"/>
    <n v="0.22999999999999998"/>
  </r>
  <r>
    <n v="370"/>
    <x v="0"/>
    <x v="0"/>
    <n v="3.94"/>
    <n v="-0.10999999999999988"/>
  </r>
  <r>
    <n v="110"/>
    <x v="6"/>
    <x v="1"/>
    <n v="3.05"/>
    <n v="-0.15000000000000036"/>
  </r>
  <r>
    <n v="10"/>
    <x v="5"/>
    <x v="2"/>
    <n v="2.2000000000000002"/>
    <n v="-2.9999999999999805E-2"/>
  </r>
  <r>
    <n v="5"/>
    <x v="3"/>
    <x v="3"/>
    <n v="1.23"/>
    <n v="-0.79"/>
  </r>
  <r>
    <n v="2"/>
    <x v="3"/>
    <x v="3"/>
    <n v="1.02"/>
    <n v="2.0000000000000018E-2"/>
  </r>
  <r>
    <n v="510"/>
    <x v="0"/>
    <x v="0"/>
    <n v="4.4800000000000004"/>
    <n v="-0.58999999999999986"/>
  </r>
  <r>
    <n v="270"/>
    <x v="0"/>
    <x v="4"/>
    <n v="4.07"/>
    <n v="-0.37999999999999989"/>
  </r>
  <r>
    <n v="240"/>
    <x v="0"/>
    <x v="2"/>
    <n v="3.45"/>
    <n v="-4.9999999999999822E-2"/>
  </r>
  <r>
    <n v="30"/>
    <x v="4"/>
    <x v="2"/>
    <n v="2.5"/>
    <n v="-0.95000000000000018"/>
  </r>
  <r>
    <n v="25"/>
    <x v="2"/>
    <x v="2"/>
    <n v="2.4500000000000002"/>
    <n v="-0.32999999999999985"/>
  </r>
  <r>
    <n v="15"/>
    <x v="5"/>
    <x v="3"/>
    <n v="1.78"/>
    <n v="-0.24"/>
  </r>
  <r>
    <n v="2"/>
    <x v="3"/>
    <x v="3"/>
    <n v="1.02"/>
    <n v="2.0000000000000018E-2"/>
  </r>
  <r>
    <n v="180"/>
    <x v="1"/>
    <x v="2"/>
    <n v="3.08"/>
    <n v="0.10000000000000009"/>
  </r>
  <r>
    <n v="30"/>
    <x v="4"/>
    <x v="3"/>
    <n v="1.98"/>
    <n v="-6.0000000000000053E-2"/>
  </r>
  <r>
    <n v="3"/>
    <x v="3"/>
    <x v="3"/>
    <n v="1.04"/>
    <n v="4.0000000000000036E-2"/>
  </r>
  <r>
    <n v="380"/>
    <x v="0"/>
    <x v="0"/>
    <n v="3.96"/>
    <n v="8.0000000000000071E-2"/>
  </r>
  <r>
    <n v="110"/>
    <x v="6"/>
    <x v="2"/>
    <n v="2.88"/>
    <n v="-0.32000000000000028"/>
  </r>
  <r>
    <n v="10"/>
    <x v="5"/>
    <x v="2"/>
    <n v="2.2000000000000002"/>
    <n v="7.0000000000000284E-2"/>
  </r>
  <r>
    <n v="4"/>
    <x v="3"/>
    <x v="3"/>
    <n v="1.1299999999999999"/>
    <n v="0.12999999999999989"/>
  </r>
  <r>
    <n v="430"/>
    <x v="0"/>
    <x v="0"/>
    <n v="4.05"/>
    <n v="-0.74000000000000021"/>
  </r>
  <r>
    <n v="130"/>
    <x v="1"/>
    <x v="4"/>
    <n v="3.79"/>
    <n v="0.12000000000000011"/>
  </r>
  <r>
    <n v="30"/>
    <x v="4"/>
    <x v="1"/>
    <n v="2.67"/>
    <n v="-0.1100000000000001"/>
  </r>
  <r>
    <n v="15"/>
    <x v="5"/>
    <x v="3"/>
    <n v="1.78"/>
    <n v="-0.26"/>
  </r>
  <r>
    <n v="3"/>
    <x v="3"/>
    <x v="3"/>
    <n v="1.04"/>
    <n v="4.0000000000000036E-2"/>
  </r>
  <r>
    <n v="220"/>
    <x v="1"/>
    <x v="2"/>
    <n v="3.32"/>
    <n v="1.0899999999999999"/>
  </r>
  <r>
    <n v="5"/>
    <x v="3"/>
    <x v="3"/>
    <n v="1.23"/>
    <n v="-0.79"/>
  </r>
  <r>
    <n v="2"/>
    <x v="3"/>
    <x v="3"/>
    <n v="1.02"/>
    <n v="2.0000000000000018E-2"/>
  </r>
  <r>
    <n v="400"/>
    <x v="0"/>
    <x v="0"/>
    <n v="3.99"/>
    <n v="-8.9999999999999858E-2"/>
  </r>
  <r>
    <n v="120"/>
    <x v="1"/>
    <x v="1"/>
    <n v="3.08"/>
    <n v="-0.62000000000000011"/>
  </r>
  <r>
    <n v="60"/>
    <x v="6"/>
    <x v="2"/>
    <n v="2.7"/>
    <n v="-0.21999999999999975"/>
  </r>
  <r>
    <n v="25"/>
    <x v="2"/>
    <x v="3"/>
    <n v="1.92"/>
    <n v="-0.31000000000000005"/>
  </r>
  <r>
    <n v="5"/>
    <x v="3"/>
    <x v="3"/>
    <n v="1.23"/>
    <n v="-0.79"/>
  </r>
  <r>
    <n v="2"/>
    <x v="3"/>
    <x v="3"/>
    <n v="1.02"/>
    <n v="2.0000000000000018E-2"/>
  </r>
  <r>
    <n v="400"/>
    <x v="0"/>
    <x v="0"/>
    <n v="3.99"/>
    <n v="-8.9999999999999858E-2"/>
  </r>
  <r>
    <n v="180"/>
    <x v="1"/>
    <x v="2"/>
    <n v="3.08"/>
    <n v="0.30000000000000004"/>
  </r>
  <r>
    <n v="15"/>
    <x v="5"/>
    <x v="3"/>
    <n v="1.78"/>
    <n v="-0.34999999999999987"/>
  </r>
  <r>
    <n v="4"/>
    <x v="3"/>
    <x v="3"/>
    <n v="1.1299999999999999"/>
    <n v="-0.89000000000000012"/>
  </r>
  <r>
    <n v="2"/>
    <x v="3"/>
    <x v="3"/>
    <n v="1.02"/>
    <n v="2.0000000000000018E-2"/>
  </r>
  <r>
    <n v="530"/>
    <x v="0"/>
    <x v="0"/>
    <n v="4.5999999999999996"/>
    <n v="0.20999999999999952"/>
  </r>
  <r>
    <n v="230"/>
    <x v="1"/>
    <x v="2"/>
    <n v="3.39"/>
    <n v="-0.54999999999999982"/>
  </r>
  <r>
    <n v="70"/>
    <x v="6"/>
    <x v="1"/>
    <n v="2.94"/>
    <n v="6.999999999999984E-2"/>
  </r>
  <r>
    <n v="20"/>
    <x v="2"/>
    <x v="3"/>
    <n v="1.87"/>
    <n v="-0.16999999999999993"/>
  </r>
  <r>
    <n v="3"/>
    <x v="3"/>
    <x v="3"/>
    <n v="1.04"/>
    <n v="4.0000000000000036E-2"/>
  </r>
  <r>
    <n v="170"/>
    <x v="1"/>
    <x v="0"/>
    <n v="3.02"/>
    <n v="4.0000000000000036E-2"/>
  </r>
  <r>
    <n v="30"/>
    <x v="4"/>
    <x v="3"/>
    <n v="1.98"/>
    <n v="-0.14999999999999991"/>
  </r>
  <r>
    <n v="4"/>
    <x v="3"/>
    <x v="3"/>
    <n v="1.1299999999999999"/>
    <n v="0.12999999999999989"/>
  </r>
  <r>
    <n v="365"/>
    <x v="0"/>
    <x v="0"/>
    <n v="3.93"/>
    <n v="-2"/>
  </r>
  <r>
    <n v="365"/>
    <x v="0"/>
    <x v="0"/>
    <n v="3.93"/>
    <n v="8.0000000000000071E-2"/>
  </r>
  <r>
    <n v="120"/>
    <x v="1"/>
    <x v="2"/>
    <n v="2.85"/>
    <n v="7.0000000000000062E-2"/>
  </r>
  <r>
    <n v="15"/>
    <x v="5"/>
    <x v="3"/>
    <n v="1.78"/>
    <n v="-0.26"/>
  </r>
  <r>
    <n v="3"/>
    <x v="3"/>
    <x v="3"/>
    <n v="1.04"/>
    <n v="4.0000000000000036E-2"/>
  </r>
  <r>
    <n v="450"/>
    <x v="0"/>
    <x v="0"/>
    <n v="4.13"/>
    <n v="-0.24000000000000021"/>
  </r>
  <r>
    <n v="190"/>
    <x v="1"/>
    <x v="1"/>
    <n v="3.37"/>
    <n v="-2.9999999999999805E-2"/>
  </r>
  <r>
    <n v="20"/>
    <x v="2"/>
    <x v="2"/>
    <n v="2.4"/>
    <n v="0.27"/>
  </r>
  <r>
    <n v="4"/>
    <x v="3"/>
    <x v="3"/>
    <n v="1.1299999999999999"/>
    <n v="0.12999999999999989"/>
  </r>
  <r>
    <n v="400"/>
    <x v="0"/>
    <x v="0"/>
    <n v="3.99"/>
    <n v="-0.19999999999999973"/>
  </r>
  <r>
    <n v="150"/>
    <x v="1"/>
    <x v="1"/>
    <n v="3.19"/>
    <n v="4.9999999999999822E-2"/>
  </r>
  <r>
    <n v="50"/>
    <x v="4"/>
    <x v="3"/>
    <n v="2.14"/>
    <n v="1.1400000000000001"/>
  </r>
  <r>
    <m/>
    <x v="7"/>
    <x v="5"/>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A8C2AC-7A3B-44B0-9413-C85900209811}" name="PivotTable1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H13" firstHeaderRow="1" firstDataRow="2" firstDataCol="1"/>
  <pivotFields count="5">
    <pivotField showAll="0"/>
    <pivotField axis="axisRow" showAll="0">
      <items count="9">
        <item x="3"/>
        <item x="5"/>
        <item x="2"/>
        <item x="4"/>
        <item x="6"/>
        <item x="1"/>
        <item x="0"/>
        <item x="7"/>
        <item t="default"/>
      </items>
    </pivotField>
    <pivotField axis="axisCol" showAll="0">
      <items count="7">
        <item x="2"/>
        <item x="3"/>
        <item x="4"/>
        <item x="1"/>
        <item x="0"/>
        <item x="5"/>
        <item t="default"/>
      </items>
    </pivotField>
    <pivotField showAll="0"/>
    <pivotField dataField="1" showAll="0"/>
  </pivotFields>
  <rowFields count="1">
    <field x="1"/>
  </rowFields>
  <rowItems count="9">
    <i>
      <x/>
    </i>
    <i>
      <x v="1"/>
    </i>
    <i>
      <x v="2"/>
    </i>
    <i>
      <x v="3"/>
    </i>
    <i>
      <x v="4"/>
    </i>
    <i>
      <x v="5"/>
    </i>
    <i>
      <x v="6"/>
    </i>
    <i>
      <x v="7"/>
    </i>
    <i t="grand">
      <x/>
    </i>
  </rowItems>
  <colFields count="1">
    <field x="2"/>
  </colFields>
  <colItems count="7">
    <i>
      <x/>
    </i>
    <i>
      <x v="1"/>
    </i>
    <i>
      <x v="2"/>
    </i>
    <i>
      <x v="3"/>
    </i>
    <i>
      <x v="4"/>
    </i>
    <i>
      <x v="5"/>
    </i>
    <i t="grand">
      <x/>
    </i>
  </colItems>
  <dataFields count="1">
    <dataField name="Sum of SG"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B269A-5EA2-46F9-8EB7-CC28CCE2A7E1}">
  <sheetPr codeName="Sheet1"/>
  <dimension ref="A1:A7"/>
  <sheetViews>
    <sheetView tabSelected="1" zoomScale="190" zoomScaleNormal="190" workbookViewId="0">
      <selection activeCell="A3" sqref="A3"/>
    </sheetView>
  </sheetViews>
  <sheetFormatPr baseColWidth="10" defaultColWidth="8.83203125" defaultRowHeight="15" x14ac:dyDescent="0.2"/>
  <cols>
    <col min="1" max="1" width="81" customWidth="1"/>
  </cols>
  <sheetData>
    <row r="1" spans="1:1" ht="35" customHeight="1" x14ac:dyDescent="0.2">
      <c r="A1" s="4" t="s">
        <v>45</v>
      </c>
    </row>
    <row r="2" spans="1:1" ht="48" x14ac:dyDescent="0.2">
      <c r="A2" s="5" t="s">
        <v>48</v>
      </c>
    </row>
    <row r="3" spans="1:1" ht="32" x14ac:dyDescent="0.2">
      <c r="A3" s="5" t="s">
        <v>42</v>
      </c>
    </row>
    <row r="4" spans="1:1" ht="32" x14ac:dyDescent="0.2">
      <c r="A4" s="5" t="s">
        <v>43</v>
      </c>
    </row>
    <row r="5" spans="1:1" ht="48" x14ac:dyDescent="0.2">
      <c r="A5" s="5" t="s">
        <v>46</v>
      </c>
    </row>
    <row r="6" spans="1:1" ht="48" x14ac:dyDescent="0.2">
      <c r="A6" s="5" t="s">
        <v>47</v>
      </c>
    </row>
    <row r="7" spans="1:1" ht="16" x14ac:dyDescent="0.2">
      <c r="A7" s="5" t="s">
        <v>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DF988-8ED8-4E18-AED9-060C930E8D8A}">
  <sheetPr codeName="Sheet8"/>
  <dimension ref="A1:A6"/>
  <sheetViews>
    <sheetView zoomScale="170" zoomScaleNormal="170" workbookViewId="0">
      <selection sqref="A1:A6"/>
    </sheetView>
  </sheetViews>
  <sheetFormatPr baseColWidth="10" defaultColWidth="8.83203125" defaultRowHeight="15" x14ac:dyDescent="0.2"/>
  <sheetData>
    <row r="1" spans="1:1" x14ac:dyDescent="0.2">
      <c r="A1" t="s">
        <v>1</v>
      </c>
    </row>
    <row r="2" spans="1:1" x14ac:dyDescent="0.2">
      <c r="A2" t="s">
        <v>2</v>
      </c>
    </row>
    <row r="3" spans="1:1" x14ac:dyDescent="0.2">
      <c r="A3" t="s">
        <v>3</v>
      </c>
    </row>
    <row r="4" spans="1:1" x14ac:dyDescent="0.2">
      <c r="A4" t="s">
        <v>4</v>
      </c>
    </row>
    <row r="5" spans="1:1" x14ac:dyDescent="0.2">
      <c r="A5" t="s">
        <v>5</v>
      </c>
    </row>
    <row r="6" spans="1:1" x14ac:dyDescent="0.2">
      <c r="A6" t="s">
        <v>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956A5-B31F-4516-B588-9A221BF21FEB}">
  <sheetPr codeName="Sheet7"/>
  <dimension ref="A1:G137"/>
  <sheetViews>
    <sheetView topLeftCell="A116" zoomScale="160" zoomScaleNormal="160" workbookViewId="0">
      <selection activeCell="C5" sqref="C5"/>
    </sheetView>
  </sheetViews>
  <sheetFormatPr baseColWidth="10" defaultColWidth="8.83203125" defaultRowHeight="15" x14ac:dyDescent="0.2"/>
  <sheetData>
    <row r="1" spans="1:7" x14ac:dyDescent="0.2">
      <c r="A1" t="s">
        <v>0</v>
      </c>
      <c r="B1" t="s">
        <v>1</v>
      </c>
      <c r="C1" t="s">
        <v>2</v>
      </c>
      <c r="D1" t="s">
        <v>3</v>
      </c>
      <c r="E1" t="s">
        <v>4</v>
      </c>
      <c r="F1" t="s">
        <v>5</v>
      </c>
      <c r="G1" t="s">
        <v>6</v>
      </c>
    </row>
    <row r="2" spans="1:7" x14ac:dyDescent="0.2">
      <c r="A2">
        <v>1</v>
      </c>
      <c r="G2">
        <v>1.01</v>
      </c>
    </row>
    <row r="3" spans="1:7" x14ac:dyDescent="0.2">
      <c r="A3">
        <v>2</v>
      </c>
      <c r="G3">
        <v>1.02</v>
      </c>
    </row>
    <row r="4" spans="1:7" x14ac:dyDescent="0.2">
      <c r="A4">
        <v>3</v>
      </c>
      <c r="G4">
        <v>1.04</v>
      </c>
    </row>
    <row r="5" spans="1:7" x14ac:dyDescent="0.2">
      <c r="A5">
        <v>4</v>
      </c>
      <c r="G5">
        <v>1.1299999999999999</v>
      </c>
    </row>
    <row r="6" spans="1:7" x14ac:dyDescent="0.2">
      <c r="A6">
        <v>5</v>
      </c>
      <c r="G6">
        <v>1.23</v>
      </c>
    </row>
    <row r="7" spans="1:7" x14ac:dyDescent="0.2">
      <c r="A7">
        <v>6</v>
      </c>
      <c r="G7">
        <v>1.34</v>
      </c>
    </row>
    <row r="8" spans="1:7" x14ac:dyDescent="0.2">
      <c r="A8">
        <v>7</v>
      </c>
      <c r="G8">
        <v>1.42</v>
      </c>
    </row>
    <row r="9" spans="1:7" x14ac:dyDescent="0.2">
      <c r="A9">
        <v>8</v>
      </c>
      <c r="G9">
        <v>1.5</v>
      </c>
    </row>
    <row r="10" spans="1:7" x14ac:dyDescent="0.2">
      <c r="A10">
        <v>9</v>
      </c>
      <c r="G10">
        <v>1.56</v>
      </c>
    </row>
    <row r="11" spans="1:7" x14ac:dyDescent="0.2">
      <c r="A11">
        <v>10</v>
      </c>
      <c r="C11">
        <v>2.2000000000000002</v>
      </c>
      <c r="D11">
        <v>2.4</v>
      </c>
      <c r="E11">
        <v>2.2999999999999998</v>
      </c>
      <c r="G11">
        <v>1.61</v>
      </c>
    </row>
    <row r="12" spans="1:7" x14ac:dyDescent="0.2">
      <c r="A12">
        <v>11</v>
      </c>
      <c r="G12">
        <v>1.64</v>
      </c>
    </row>
    <row r="13" spans="1:7" x14ac:dyDescent="0.2">
      <c r="A13">
        <v>12</v>
      </c>
      <c r="G13">
        <v>1.67</v>
      </c>
    </row>
    <row r="14" spans="1:7" x14ac:dyDescent="0.2">
      <c r="A14">
        <v>13</v>
      </c>
      <c r="G14">
        <v>1.7</v>
      </c>
    </row>
    <row r="15" spans="1:7" x14ac:dyDescent="0.2">
      <c r="A15">
        <v>14</v>
      </c>
      <c r="G15">
        <v>1.74</v>
      </c>
    </row>
    <row r="16" spans="1:7" x14ac:dyDescent="0.2">
      <c r="A16">
        <v>15</v>
      </c>
      <c r="C16">
        <v>2.2999999999999998</v>
      </c>
      <c r="D16">
        <v>2.5</v>
      </c>
      <c r="E16">
        <v>2.4</v>
      </c>
      <c r="G16">
        <v>1.78</v>
      </c>
    </row>
    <row r="17" spans="1:7" x14ac:dyDescent="0.2">
      <c r="A17">
        <v>16</v>
      </c>
      <c r="G17">
        <v>1.8</v>
      </c>
    </row>
    <row r="18" spans="1:7" x14ac:dyDescent="0.2">
      <c r="A18">
        <v>17</v>
      </c>
      <c r="G18">
        <v>1.82</v>
      </c>
    </row>
    <row r="19" spans="1:7" x14ac:dyDescent="0.2">
      <c r="A19">
        <v>18</v>
      </c>
      <c r="G19">
        <v>1.84</v>
      </c>
    </row>
    <row r="20" spans="1:7" x14ac:dyDescent="0.2">
      <c r="A20">
        <v>19</v>
      </c>
      <c r="G20">
        <v>1.86</v>
      </c>
    </row>
    <row r="21" spans="1:7" x14ac:dyDescent="0.2">
      <c r="A21">
        <v>20</v>
      </c>
      <c r="C21">
        <v>2.4</v>
      </c>
      <c r="D21">
        <v>2.59</v>
      </c>
      <c r="E21">
        <v>2.5299999999999998</v>
      </c>
      <c r="G21">
        <v>1.87</v>
      </c>
    </row>
    <row r="22" spans="1:7" x14ac:dyDescent="0.2">
      <c r="A22">
        <v>25</v>
      </c>
      <c r="C22">
        <v>2.4500000000000002</v>
      </c>
      <c r="D22">
        <v>2.63</v>
      </c>
      <c r="E22">
        <v>2.6</v>
      </c>
      <c r="G22">
        <v>1.92</v>
      </c>
    </row>
    <row r="23" spans="1:7" x14ac:dyDescent="0.2">
      <c r="A23">
        <v>30</v>
      </c>
      <c r="C23">
        <v>2.5</v>
      </c>
      <c r="D23">
        <v>2.67</v>
      </c>
      <c r="E23">
        <v>2.67</v>
      </c>
      <c r="G23">
        <v>1.98</v>
      </c>
    </row>
    <row r="24" spans="1:7" x14ac:dyDescent="0.2">
      <c r="A24">
        <v>35</v>
      </c>
      <c r="C24">
        <v>2.5499999999999998</v>
      </c>
      <c r="D24">
        <v>2.72</v>
      </c>
      <c r="E24">
        <v>2.74</v>
      </c>
      <c r="G24">
        <v>2.02</v>
      </c>
    </row>
    <row r="25" spans="1:7" x14ac:dyDescent="0.2">
      <c r="A25">
        <v>40</v>
      </c>
      <c r="C25">
        <v>2.6</v>
      </c>
      <c r="D25">
        <v>2.78</v>
      </c>
      <c r="E25">
        <v>2.82</v>
      </c>
      <c r="G25">
        <v>2.06</v>
      </c>
    </row>
    <row r="26" spans="1:7" x14ac:dyDescent="0.2">
      <c r="A26">
        <v>45</v>
      </c>
      <c r="C26">
        <v>2.62</v>
      </c>
      <c r="D26">
        <v>2.82</v>
      </c>
      <c r="E26">
        <v>2.9</v>
      </c>
      <c r="G26">
        <v>2.1</v>
      </c>
    </row>
    <row r="27" spans="1:7" x14ac:dyDescent="0.2">
      <c r="A27">
        <v>50</v>
      </c>
      <c r="C27">
        <v>2.65</v>
      </c>
      <c r="D27">
        <v>2.85</v>
      </c>
      <c r="E27">
        <v>2.98</v>
      </c>
      <c r="F27">
        <v>3.5</v>
      </c>
      <c r="G27">
        <v>2.14</v>
      </c>
    </row>
    <row r="28" spans="1:7" x14ac:dyDescent="0.2">
      <c r="A28">
        <v>55</v>
      </c>
      <c r="C28">
        <v>2.67</v>
      </c>
      <c r="D28">
        <v>2.88</v>
      </c>
      <c r="E28">
        <v>3.06</v>
      </c>
      <c r="F28">
        <v>3.55</v>
      </c>
      <c r="G28">
        <v>2.17</v>
      </c>
    </row>
    <row r="29" spans="1:7" x14ac:dyDescent="0.2">
      <c r="A29">
        <v>60</v>
      </c>
      <c r="C29">
        <v>2.7</v>
      </c>
      <c r="D29">
        <v>2.91</v>
      </c>
      <c r="E29">
        <v>3.15</v>
      </c>
      <c r="F29">
        <v>3.6</v>
      </c>
      <c r="G29">
        <v>2.21</v>
      </c>
    </row>
    <row r="30" spans="1:7" x14ac:dyDescent="0.2">
      <c r="A30">
        <v>65</v>
      </c>
      <c r="C30">
        <v>2.71</v>
      </c>
      <c r="D30">
        <v>2.92</v>
      </c>
      <c r="E30">
        <v>3.17</v>
      </c>
      <c r="F30">
        <v>3.62</v>
      </c>
      <c r="G30">
        <v>2.2400000000000002</v>
      </c>
    </row>
    <row r="31" spans="1:7" x14ac:dyDescent="0.2">
      <c r="A31">
        <v>70</v>
      </c>
      <c r="C31">
        <v>2.73</v>
      </c>
      <c r="D31">
        <v>2.94</v>
      </c>
      <c r="E31">
        <v>3.2</v>
      </c>
      <c r="F31">
        <v>3.65</v>
      </c>
      <c r="G31">
        <v>2.27</v>
      </c>
    </row>
    <row r="32" spans="1:7" x14ac:dyDescent="0.2">
      <c r="A32">
        <v>75</v>
      </c>
      <c r="C32">
        <v>2.74</v>
      </c>
      <c r="D32">
        <v>2.95</v>
      </c>
      <c r="E32">
        <v>3.22</v>
      </c>
      <c r="F32">
        <v>3.67</v>
      </c>
      <c r="G32">
        <v>2.2999999999999998</v>
      </c>
    </row>
    <row r="33" spans="1:7" x14ac:dyDescent="0.2">
      <c r="A33">
        <v>80</v>
      </c>
      <c r="C33">
        <v>2.75</v>
      </c>
      <c r="D33">
        <v>2.96</v>
      </c>
      <c r="E33">
        <v>3.24</v>
      </c>
      <c r="F33">
        <v>3.7</v>
      </c>
      <c r="G33">
        <v>2.33</v>
      </c>
    </row>
    <row r="34" spans="1:7" x14ac:dyDescent="0.2">
      <c r="A34">
        <v>85</v>
      </c>
      <c r="C34">
        <v>2.76</v>
      </c>
      <c r="D34">
        <v>2.97</v>
      </c>
      <c r="E34">
        <v>3.24</v>
      </c>
      <c r="F34">
        <v>3.72</v>
      </c>
      <c r="G34">
        <v>2.36</v>
      </c>
    </row>
    <row r="35" spans="1:7" x14ac:dyDescent="0.2">
      <c r="A35">
        <v>90</v>
      </c>
      <c r="C35">
        <v>2.77</v>
      </c>
      <c r="D35">
        <v>2.99</v>
      </c>
      <c r="E35">
        <v>3.24</v>
      </c>
      <c r="F35">
        <v>3.76</v>
      </c>
      <c r="G35">
        <v>2.4</v>
      </c>
    </row>
    <row r="36" spans="1:7" x14ac:dyDescent="0.2">
      <c r="A36">
        <v>95</v>
      </c>
      <c r="C36">
        <v>2.78</v>
      </c>
      <c r="D36">
        <v>3</v>
      </c>
      <c r="E36">
        <v>3.24</v>
      </c>
      <c r="F36">
        <v>3.78</v>
      </c>
      <c r="G36">
        <v>2.4500000000000002</v>
      </c>
    </row>
    <row r="37" spans="1:7" x14ac:dyDescent="0.2">
      <c r="A37">
        <v>100</v>
      </c>
      <c r="B37">
        <v>2.92</v>
      </c>
      <c r="C37">
        <v>2.8</v>
      </c>
      <c r="D37">
        <v>3.02</v>
      </c>
      <c r="E37">
        <v>3.23</v>
      </c>
      <c r="F37">
        <v>3.8</v>
      </c>
      <c r="G37">
        <v>2.5</v>
      </c>
    </row>
    <row r="38" spans="1:7" x14ac:dyDescent="0.2">
      <c r="A38">
        <v>105</v>
      </c>
      <c r="B38">
        <v>2.92</v>
      </c>
      <c r="C38">
        <v>2.84</v>
      </c>
      <c r="D38">
        <v>3.03</v>
      </c>
      <c r="E38">
        <v>3.23</v>
      </c>
      <c r="F38">
        <v>3.8</v>
      </c>
    </row>
    <row r="39" spans="1:7" x14ac:dyDescent="0.2">
      <c r="A39">
        <v>110</v>
      </c>
      <c r="B39">
        <v>2.93</v>
      </c>
      <c r="C39">
        <v>2.88</v>
      </c>
      <c r="D39">
        <v>3.05</v>
      </c>
      <c r="E39">
        <v>3.22</v>
      </c>
      <c r="F39">
        <v>3.79</v>
      </c>
    </row>
    <row r="40" spans="1:7" x14ac:dyDescent="0.2">
      <c r="A40">
        <v>115</v>
      </c>
      <c r="B40">
        <v>2.94</v>
      </c>
      <c r="C40">
        <v>2.87</v>
      </c>
      <c r="D40">
        <v>3.06</v>
      </c>
      <c r="E40">
        <v>3.22</v>
      </c>
      <c r="F40">
        <v>3.79</v>
      </c>
    </row>
    <row r="41" spans="1:7" x14ac:dyDescent="0.2">
      <c r="A41">
        <v>120</v>
      </c>
      <c r="B41">
        <v>2.95</v>
      </c>
      <c r="C41">
        <v>2.85</v>
      </c>
      <c r="D41">
        <v>3.08</v>
      </c>
      <c r="E41">
        <v>3.21</v>
      </c>
      <c r="F41">
        <v>3.78</v>
      </c>
    </row>
    <row r="42" spans="1:7" x14ac:dyDescent="0.2">
      <c r="A42">
        <v>125</v>
      </c>
      <c r="B42">
        <v>2.95</v>
      </c>
      <c r="C42">
        <v>2.87</v>
      </c>
      <c r="D42">
        <v>3.1</v>
      </c>
      <c r="E42">
        <v>3.21</v>
      </c>
      <c r="F42">
        <v>3.78</v>
      </c>
    </row>
    <row r="43" spans="1:7" x14ac:dyDescent="0.2">
      <c r="A43">
        <v>130</v>
      </c>
      <c r="B43">
        <v>2.96</v>
      </c>
      <c r="C43">
        <v>2.88</v>
      </c>
      <c r="D43">
        <v>3.12</v>
      </c>
      <c r="E43">
        <v>3.21</v>
      </c>
      <c r="F43">
        <v>3.79</v>
      </c>
    </row>
    <row r="44" spans="1:7" x14ac:dyDescent="0.2">
      <c r="A44">
        <v>135</v>
      </c>
      <c r="B44">
        <v>2.96</v>
      </c>
      <c r="C44">
        <v>2.89</v>
      </c>
      <c r="D44">
        <v>3.14</v>
      </c>
      <c r="E44">
        <v>3.21</v>
      </c>
      <c r="F44">
        <v>3.8</v>
      </c>
    </row>
    <row r="45" spans="1:7" x14ac:dyDescent="0.2">
      <c r="A45">
        <v>140</v>
      </c>
      <c r="B45">
        <v>2.97</v>
      </c>
      <c r="C45">
        <v>2.91</v>
      </c>
      <c r="D45">
        <v>3.15</v>
      </c>
      <c r="E45">
        <v>3.22</v>
      </c>
      <c r="F45">
        <v>3.8</v>
      </c>
    </row>
    <row r="46" spans="1:7" x14ac:dyDescent="0.2">
      <c r="A46">
        <v>145</v>
      </c>
      <c r="B46">
        <v>2.97</v>
      </c>
      <c r="C46">
        <v>2.93</v>
      </c>
      <c r="D46">
        <v>3.17</v>
      </c>
      <c r="E46">
        <v>3.24</v>
      </c>
      <c r="F46">
        <v>3.8</v>
      </c>
    </row>
    <row r="47" spans="1:7" x14ac:dyDescent="0.2">
      <c r="A47">
        <v>150</v>
      </c>
      <c r="B47">
        <v>2.98</v>
      </c>
      <c r="C47">
        <v>2.95</v>
      </c>
      <c r="D47">
        <v>3.19</v>
      </c>
      <c r="E47">
        <v>3.25</v>
      </c>
      <c r="F47">
        <v>3.8</v>
      </c>
    </row>
    <row r="48" spans="1:7" x14ac:dyDescent="0.2">
      <c r="A48">
        <v>155</v>
      </c>
      <c r="B48">
        <v>2.98</v>
      </c>
      <c r="C48">
        <v>2.97</v>
      </c>
      <c r="D48">
        <v>3.21</v>
      </c>
      <c r="E48">
        <v>3.26</v>
      </c>
      <c r="F48">
        <v>3.81</v>
      </c>
    </row>
    <row r="49" spans="1:6" x14ac:dyDescent="0.2">
      <c r="A49">
        <v>160</v>
      </c>
      <c r="B49">
        <v>2.99</v>
      </c>
      <c r="C49">
        <v>2.98</v>
      </c>
      <c r="D49">
        <v>3.23</v>
      </c>
      <c r="E49">
        <v>3.28</v>
      </c>
      <c r="F49">
        <v>3.81</v>
      </c>
    </row>
    <row r="50" spans="1:6" x14ac:dyDescent="0.2">
      <c r="A50">
        <v>165</v>
      </c>
      <c r="B50">
        <v>3.01</v>
      </c>
      <c r="C50">
        <v>3</v>
      </c>
      <c r="D50">
        <v>3.25</v>
      </c>
      <c r="E50">
        <v>3.31</v>
      </c>
      <c r="F50">
        <v>3.81</v>
      </c>
    </row>
    <row r="51" spans="1:6" x14ac:dyDescent="0.2">
      <c r="A51">
        <v>170</v>
      </c>
      <c r="B51">
        <v>3.02</v>
      </c>
      <c r="C51">
        <v>3.03</v>
      </c>
      <c r="D51">
        <v>3.27</v>
      </c>
      <c r="E51">
        <v>3.34</v>
      </c>
      <c r="F51">
        <v>3.81</v>
      </c>
    </row>
    <row r="52" spans="1:6" x14ac:dyDescent="0.2">
      <c r="A52">
        <v>175</v>
      </c>
      <c r="B52">
        <v>3.03</v>
      </c>
      <c r="C52">
        <v>3.05</v>
      </c>
      <c r="D52">
        <v>3.29</v>
      </c>
      <c r="E52">
        <v>3.37</v>
      </c>
      <c r="F52">
        <v>3.81</v>
      </c>
    </row>
    <row r="53" spans="1:6" x14ac:dyDescent="0.2">
      <c r="A53">
        <v>180</v>
      </c>
      <c r="B53">
        <v>3.05</v>
      </c>
      <c r="C53">
        <v>3.08</v>
      </c>
      <c r="D53">
        <v>3.31</v>
      </c>
      <c r="E53">
        <v>3.4</v>
      </c>
      <c r="F53">
        <v>3.82</v>
      </c>
    </row>
    <row r="54" spans="1:6" x14ac:dyDescent="0.2">
      <c r="A54">
        <v>185</v>
      </c>
      <c r="B54">
        <v>3.07</v>
      </c>
      <c r="C54">
        <v>3.11</v>
      </c>
      <c r="D54">
        <v>3.35</v>
      </c>
      <c r="E54">
        <v>3.43</v>
      </c>
      <c r="F54">
        <v>3.83</v>
      </c>
    </row>
    <row r="55" spans="1:6" x14ac:dyDescent="0.2">
      <c r="A55">
        <v>190</v>
      </c>
      <c r="B55">
        <v>3.09</v>
      </c>
      <c r="C55">
        <v>3.14</v>
      </c>
      <c r="D55">
        <v>3.37</v>
      </c>
      <c r="E55">
        <v>3.47</v>
      </c>
      <c r="F55">
        <v>3.84</v>
      </c>
    </row>
    <row r="56" spans="1:6" x14ac:dyDescent="0.2">
      <c r="A56">
        <v>195</v>
      </c>
      <c r="B56">
        <v>3.1</v>
      </c>
      <c r="C56">
        <v>3.16</v>
      </c>
      <c r="D56">
        <v>3.4</v>
      </c>
      <c r="E56">
        <v>3.51</v>
      </c>
      <c r="F56">
        <v>3.85</v>
      </c>
    </row>
    <row r="57" spans="1:6" x14ac:dyDescent="0.2">
      <c r="A57">
        <v>200</v>
      </c>
      <c r="B57">
        <v>3.12</v>
      </c>
      <c r="C57">
        <v>3.19</v>
      </c>
      <c r="D57">
        <v>3.42</v>
      </c>
      <c r="E57">
        <v>3.55</v>
      </c>
      <c r="F57">
        <v>3.87</v>
      </c>
    </row>
    <row r="58" spans="1:6" x14ac:dyDescent="0.2">
      <c r="A58">
        <v>205</v>
      </c>
      <c r="B58">
        <v>3.14</v>
      </c>
      <c r="C58">
        <v>3.23</v>
      </c>
      <c r="D58">
        <v>3.45</v>
      </c>
      <c r="E58">
        <v>3.59</v>
      </c>
      <c r="F58">
        <v>3.88</v>
      </c>
    </row>
    <row r="59" spans="1:6" x14ac:dyDescent="0.2">
      <c r="A59">
        <v>210</v>
      </c>
      <c r="B59">
        <v>3.15</v>
      </c>
      <c r="C59">
        <v>3.26</v>
      </c>
      <c r="D59">
        <v>3.48</v>
      </c>
      <c r="E59">
        <v>3.62</v>
      </c>
      <c r="F59">
        <v>3.9</v>
      </c>
    </row>
    <row r="60" spans="1:6" x14ac:dyDescent="0.2">
      <c r="A60">
        <v>215</v>
      </c>
      <c r="B60">
        <v>3.16</v>
      </c>
      <c r="C60">
        <v>3.29</v>
      </c>
      <c r="D60">
        <v>3.51</v>
      </c>
      <c r="E60">
        <v>3.66</v>
      </c>
      <c r="F60">
        <v>3.91</v>
      </c>
    </row>
    <row r="61" spans="1:6" x14ac:dyDescent="0.2">
      <c r="A61">
        <v>220</v>
      </c>
      <c r="B61">
        <v>3.17</v>
      </c>
      <c r="C61">
        <v>3.32</v>
      </c>
      <c r="D61">
        <v>3.53</v>
      </c>
      <c r="E61">
        <v>3.7</v>
      </c>
      <c r="F61">
        <v>3.92</v>
      </c>
    </row>
    <row r="62" spans="1:6" x14ac:dyDescent="0.2">
      <c r="A62">
        <v>225</v>
      </c>
      <c r="B62">
        <v>3.19</v>
      </c>
      <c r="C62">
        <v>3.35</v>
      </c>
      <c r="D62">
        <v>3.55</v>
      </c>
      <c r="E62">
        <v>3.73</v>
      </c>
      <c r="F62">
        <v>3.93</v>
      </c>
    </row>
    <row r="63" spans="1:6" x14ac:dyDescent="0.2">
      <c r="A63">
        <v>230</v>
      </c>
      <c r="B63">
        <v>3.21</v>
      </c>
      <c r="C63">
        <v>3.39</v>
      </c>
      <c r="D63">
        <v>3.58</v>
      </c>
      <c r="E63">
        <v>3.77</v>
      </c>
      <c r="F63">
        <v>3.94</v>
      </c>
    </row>
    <row r="64" spans="1:6" x14ac:dyDescent="0.2">
      <c r="A64">
        <v>235</v>
      </c>
      <c r="B64">
        <v>3.23</v>
      </c>
      <c r="C64">
        <v>3.42</v>
      </c>
      <c r="D64">
        <v>3.61</v>
      </c>
      <c r="E64">
        <v>3.8</v>
      </c>
      <c r="F64">
        <v>3.95</v>
      </c>
    </row>
    <row r="65" spans="1:6" x14ac:dyDescent="0.2">
      <c r="A65">
        <v>240</v>
      </c>
      <c r="B65">
        <v>3.25</v>
      </c>
      <c r="C65">
        <v>3.45</v>
      </c>
      <c r="D65">
        <v>3.64</v>
      </c>
      <c r="E65">
        <v>3.84</v>
      </c>
      <c r="F65">
        <v>3.97</v>
      </c>
    </row>
    <row r="66" spans="1:6" x14ac:dyDescent="0.2">
      <c r="A66">
        <v>245</v>
      </c>
      <c r="B66">
        <v>3.3</v>
      </c>
      <c r="C66">
        <v>3.48</v>
      </c>
      <c r="D66">
        <v>3.66</v>
      </c>
      <c r="E66">
        <v>3.86</v>
      </c>
      <c r="F66">
        <v>3.98</v>
      </c>
    </row>
    <row r="67" spans="1:6" x14ac:dyDescent="0.2">
      <c r="A67">
        <v>250</v>
      </c>
      <c r="B67">
        <v>3.35</v>
      </c>
      <c r="C67">
        <v>3.52</v>
      </c>
      <c r="D67">
        <v>3.69</v>
      </c>
      <c r="E67">
        <v>3.89</v>
      </c>
      <c r="F67">
        <v>4</v>
      </c>
    </row>
    <row r="68" spans="1:6" x14ac:dyDescent="0.2">
      <c r="A68">
        <v>255</v>
      </c>
      <c r="B68">
        <v>3.4</v>
      </c>
      <c r="C68">
        <v>3.55</v>
      </c>
      <c r="D68">
        <v>3.71</v>
      </c>
      <c r="E68">
        <v>3.91</v>
      </c>
      <c r="F68">
        <v>4.01</v>
      </c>
    </row>
    <row r="69" spans="1:6" x14ac:dyDescent="0.2">
      <c r="A69">
        <v>260</v>
      </c>
      <c r="B69">
        <v>3.45</v>
      </c>
      <c r="C69">
        <v>3.58</v>
      </c>
      <c r="D69">
        <v>3.74</v>
      </c>
      <c r="E69">
        <v>3.93</v>
      </c>
      <c r="F69">
        <v>4.03</v>
      </c>
    </row>
    <row r="70" spans="1:6" x14ac:dyDescent="0.2">
      <c r="A70">
        <v>265</v>
      </c>
      <c r="B70">
        <v>3.5</v>
      </c>
      <c r="C70">
        <v>3.61</v>
      </c>
      <c r="D70">
        <v>3.76</v>
      </c>
      <c r="E70">
        <v>3.95</v>
      </c>
      <c r="F70">
        <v>4.05</v>
      </c>
    </row>
    <row r="71" spans="1:6" x14ac:dyDescent="0.2">
      <c r="A71">
        <v>270</v>
      </c>
      <c r="B71">
        <v>3.55</v>
      </c>
      <c r="C71">
        <v>3.64</v>
      </c>
      <c r="D71">
        <v>3.79</v>
      </c>
      <c r="E71">
        <v>3.97</v>
      </c>
      <c r="F71">
        <v>4.07</v>
      </c>
    </row>
    <row r="72" spans="1:6" x14ac:dyDescent="0.2">
      <c r="A72">
        <v>275</v>
      </c>
      <c r="B72">
        <v>3.6</v>
      </c>
      <c r="C72">
        <v>3.67</v>
      </c>
      <c r="D72">
        <v>3.81</v>
      </c>
      <c r="E72">
        <v>3.98</v>
      </c>
      <c r="F72">
        <v>4.08</v>
      </c>
    </row>
    <row r="73" spans="1:6" x14ac:dyDescent="0.2">
      <c r="A73">
        <v>280</v>
      </c>
      <c r="B73">
        <v>3.65</v>
      </c>
      <c r="C73">
        <v>3.69</v>
      </c>
      <c r="D73">
        <v>3.83</v>
      </c>
      <c r="E73">
        <v>4</v>
      </c>
      <c r="F73">
        <v>4.0999999999999996</v>
      </c>
    </row>
    <row r="74" spans="1:6" x14ac:dyDescent="0.2">
      <c r="A74">
        <v>285</v>
      </c>
      <c r="B74">
        <v>3.67</v>
      </c>
      <c r="C74">
        <v>3.71</v>
      </c>
      <c r="D74">
        <v>3.84</v>
      </c>
      <c r="E74">
        <v>4.01</v>
      </c>
      <c r="F74">
        <v>4.12</v>
      </c>
    </row>
    <row r="75" spans="1:6" x14ac:dyDescent="0.2">
      <c r="A75">
        <v>290</v>
      </c>
      <c r="B75">
        <v>3.69</v>
      </c>
      <c r="C75">
        <v>3.73</v>
      </c>
      <c r="D75">
        <v>3.86</v>
      </c>
      <c r="E75">
        <v>4.0199999999999996</v>
      </c>
      <c r="F75">
        <v>4.1500000000000004</v>
      </c>
    </row>
    <row r="76" spans="1:6" x14ac:dyDescent="0.2">
      <c r="A76">
        <v>295</v>
      </c>
      <c r="B76">
        <v>3.7</v>
      </c>
      <c r="C76">
        <v>3.75</v>
      </c>
      <c r="D76">
        <v>3.88</v>
      </c>
      <c r="E76">
        <v>4.03</v>
      </c>
      <c r="F76">
        <v>4.17</v>
      </c>
    </row>
    <row r="77" spans="1:6" x14ac:dyDescent="0.2">
      <c r="A77">
        <v>300</v>
      </c>
      <c r="B77">
        <v>3.71</v>
      </c>
      <c r="C77">
        <v>3.78</v>
      </c>
      <c r="D77">
        <v>3.9</v>
      </c>
      <c r="E77">
        <v>4.04</v>
      </c>
      <c r="F77">
        <v>4.2</v>
      </c>
    </row>
    <row r="78" spans="1:6" x14ac:dyDescent="0.2">
      <c r="A78">
        <v>305</v>
      </c>
      <c r="B78">
        <v>3.73</v>
      </c>
      <c r="C78">
        <v>3.79</v>
      </c>
      <c r="D78">
        <v>3.91</v>
      </c>
      <c r="E78">
        <v>4.0599999999999996</v>
      </c>
      <c r="F78">
        <v>4.22</v>
      </c>
    </row>
    <row r="79" spans="1:6" x14ac:dyDescent="0.2">
      <c r="A79">
        <v>310</v>
      </c>
      <c r="B79">
        <v>3.75</v>
      </c>
      <c r="C79">
        <v>3.81</v>
      </c>
      <c r="D79">
        <v>3.93</v>
      </c>
      <c r="E79">
        <v>4.08</v>
      </c>
      <c r="F79">
        <v>4.25</v>
      </c>
    </row>
    <row r="80" spans="1:6" x14ac:dyDescent="0.2">
      <c r="A80">
        <v>315</v>
      </c>
      <c r="B80">
        <v>3.77</v>
      </c>
      <c r="C80">
        <v>3.82</v>
      </c>
      <c r="D80">
        <v>3.94</v>
      </c>
      <c r="E80">
        <v>4.0999999999999996</v>
      </c>
      <c r="F80">
        <v>4.28</v>
      </c>
    </row>
    <row r="81" spans="1:6" x14ac:dyDescent="0.2">
      <c r="A81">
        <v>320</v>
      </c>
      <c r="B81">
        <v>3.79</v>
      </c>
      <c r="C81">
        <v>3.84</v>
      </c>
      <c r="D81">
        <v>3.95</v>
      </c>
      <c r="E81">
        <v>4.12</v>
      </c>
      <c r="F81">
        <v>4.3099999999999996</v>
      </c>
    </row>
    <row r="82" spans="1:6" x14ac:dyDescent="0.2">
      <c r="A82">
        <v>325</v>
      </c>
      <c r="B82">
        <v>3.81</v>
      </c>
      <c r="C82">
        <v>3.85</v>
      </c>
      <c r="D82">
        <v>3.97</v>
      </c>
      <c r="E82">
        <v>4.1500000000000004</v>
      </c>
      <c r="F82">
        <v>4.3499999999999996</v>
      </c>
    </row>
    <row r="83" spans="1:6" x14ac:dyDescent="0.2">
      <c r="A83">
        <v>330</v>
      </c>
      <c r="B83">
        <v>3.83</v>
      </c>
      <c r="C83">
        <v>3.86</v>
      </c>
      <c r="D83">
        <v>3.99</v>
      </c>
      <c r="E83">
        <v>4.1900000000000004</v>
      </c>
      <c r="F83">
        <v>4.38</v>
      </c>
    </row>
    <row r="84" spans="1:6" x14ac:dyDescent="0.2">
      <c r="A84">
        <v>335</v>
      </c>
      <c r="B84">
        <v>3.85</v>
      </c>
      <c r="C84">
        <v>3.87</v>
      </c>
      <c r="D84">
        <v>4</v>
      </c>
      <c r="E84">
        <v>4.2300000000000004</v>
      </c>
      <c r="F84">
        <v>4.41</v>
      </c>
    </row>
    <row r="85" spans="1:6" x14ac:dyDescent="0.2">
      <c r="A85">
        <v>340</v>
      </c>
      <c r="B85">
        <v>3.86</v>
      </c>
      <c r="C85">
        <v>3.88</v>
      </c>
      <c r="D85">
        <v>4.0199999999999996</v>
      </c>
      <c r="E85">
        <v>4.26</v>
      </c>
      <c r="F85">
        <v>4.4400000000000004</v>
      </c>
    </row>
    <row r="86" spans="1:6" x14ac:dyDescent="0.2">
      <c r="A86">
        <v>345</v>
      </c>
      <c r="B86">
        <v>3.87</v>
      </c>
      <c r="C86">
        <v>3.9</v>
      </c>
      <c r="D86">
        <v>4.05</v>
      </c>
      <c r="E86">
        <v>4.3</v>
      </c>
      <c r="F86">
        <v>4.47</v>
      </c>
    </row>
    <row r="87" spans="1:6" x14ac:dyDescent="0.2">
      <c r="A87">
        <v>350</v>
      </c>
      <c r="B87">
        <v>3.89</v>
      </c>
      <c r="C87">
        <v>3.92</v>
      </c>
      <c r="D87">
        <v>4.07</v>
      </c>
      <c r="E87">
        <v>4.33</v>
      </c>
      <c r="F87">
        <v>4.5</v>
      </c>
    </row>
    <row r="88" spans="1:6" x14ac:dyDescent="0.2">
      <c r="A88">
        <v>355</v>
      </c>
      <c r="B88">
        <v>3.91</v>
      </c>
      <c r="C88">
        <v>3.94</v>
      </c>
      <c r="D88">
        <v>4.09</v>
      </c>
      <c r="E88">
        <v>4.37</v>
      </c>
      <c r="F88">
        <v>4.53</v>
      </c>
    </row>
    <row r="89" spans="1:6" x14ac:dyDescent="0.2">
      <c r="A89">
        <v>360</v>
      </c>
      <c r="B89">
        <v>3.92</v>
      </c>
      <c r="C89">
        <v>3.95</v>
      </c>
      <c r="D89">
        <v>4.1100000000000003</v>
      </c>
      <c r="E89">
        <v>4.41</v>
      </c>
      <c r="F89">
        <v>4.5599999999999996</v>
      </c>
    </row>
    <row r="90" spans="1:6" x14ac:dyDescent="0.2">
      <c r="A90">
        <v>365</v>
      </c>
      <c r="B90">
        <v>3.93</v>
      </c>
      <c r="C90">
        <v>3.97</v>
      </c>
      <c r="D90">
        <v>4.13</v>
      </c>
      <c r="E90">
        <v>4.4400000000000004</v>
      </c>
      <c r="F90">
        <v>4.58</v>
      </c>
    </row>
    <row r="91" spans="1:6" x14ac:dyDescent="0.2">
      <c r="A91">
        <v>370</v>
      </c>
      <c r="B91">
        <v>3.94</v>
      </c>
      <c r="C91">
        <v>3.99</v>
      </c>
      <c r="D91">
        <v>4.16</v>
      </c>
      <c r="E91">
        <v>4.4800000000000004</v>
      </c>
      <c r="F91">
        <v>4.6100000000000003</v>
      </c>
    </row>
    <row r="92" spans="1:6" x14ac:dyDescent="0.2">
      <c r="A92">
        <v>375</v>
      </c>
      <c r="B92">
        <v>3.95</v>
      </c>
      <c r="C92">
        <v>4.01</v>
      </c>
      <c r="D92">
        <v>4.18</v>
      </c>
      <c r="E92">
        <v>4.51</v>
      </c>
      <c r="F92">
        <v>4.63</v>
      </c>
    </row>
    <row r="93" spans="1:6" x14ac:dyDescent="0.2">
      <c r="A93">
        <v>380</v>
      </c>
      <c r="B93">
        <v>3.96</v>
      </c>
      <c r="C93">
        <v>4.03</v>
      </c>
      <c r="D93">
        <v>4.21</v>
      </c>
      <c r="E93">
        <v>4.55</v>
      </c>
      <c r="F93">
        <v>4.66</v>
      </c>
    </row>
    <row r="94" spans="1:6" x14ac:dyDescent="0.2">
      <c r="A94">
        <v>385</v>
      </c>
      <c r="B94">
        <v>3.96</v>
      </c>
      <c r="C94">
        <v>4.05</v>
      </c>
      <c r="D94">
        <v>4.24</v>
      </c>
      <c r="E94">
        <v>4.59</v>
      </c>
      <c r="F94">
        <v>4.68</v>
      </c>
    </row>
    <row r="95" spans="1:6" x14ac:dyDescent="0.2">
      <c r="A95">
        <v>390</v>
      </c>
      <c r="B95">
        <v>3.97</v>
      </c>
      <c r="C95">
        <v>4.07</v>
      </c>
      <c r="D95">
        <v>4.26</v>
      </c>
      <c r="E95">
        <v>4.62</v>
      </c>
      <c r="F95">
        <v>4.7</v>
      </c>
    </row>
    <row r="96" spans="1:6" x14ac:dyDescent="0.2">
      <c r="A96">
        <v>395</v>
      </c>
      <c r="B96">
        <v>3.98</v>
      </c>
      <c r="C96">
        <v>4.09</v>
      </c>
      <c r="D96">
        <v>4.28</v>
      </c>
      <c r="E96">
        <v>4.6500000000000004</v>
      </c>
      <c r="F96">
        <v>4.72</v>
      </c>
    </row>
    <row r="97" spans="1:6" x14ac:dyDescent="0.2">
      <c r="A97">
        <v>400</v>
      </c>
      <c r="B97">
        <v>3.99</v>
      </c>
      <c r="C97">
        <v>4.1100000000000003</v>
      </c>
      <c r="D97">
        <v>4.3</v>
      </c>
      <c r="E97">
        <v>4.6900000000000004</v>
      </c>
      <c r="F97">
        <v>4.75</v>
      </c>
    </row>
    <row r="98" spans="1:6" x14ac:dyDescent="0.2">
      <c r="A98">
        <v>405</v>
      </c>
      <c r="B98">
        <v>4</v>
      </c>
      <c r="C98">
        <v>4.12</v>
      </c>
      <c r="D98">
        <v>4.3099999999999996</v>
      </c>
      <c r="E98">
        <v>4.7</v>
      </c>
      <c r="F98">
        <v>4.76</v>
      </c>
    </row>
    <row r="99" spans="1:6" x14ac:dyDescent="0.2">
      <c r="A99">
        <v>410</v>
      </c>
      <c r="B99">
        <v>4.01</v>
      </c>
      <c r="C99">
        <v>4.13</v>
      </c>
      <c r="D99">
        <v>4.32</v>
      </c>
      <c r="E99">
        <v>4.71</v>
      </c>
      <c r="F99">
        <v>4.7699999999999996</v>
      </c>
    </row>
    <row r="100" spans="1:6" x14ac:dyDescent="0.2">
      <c r="A100">
        <v>415</v>
      </c>
      <c r="B100">
        <v>4.01</v>
      </c>
      <c r="C100">
        <v>4.1399999999999997</v>
      </c>
      <c r="D100">
        <v>4.33</v>
      </c>
      <c r="E100">
        <v>4.72</v>
      </c>
      <c r="F100">
        <v>4.78</v>
      </c>
    </row>
    <row r="101" spans="1:6" x14ac:dyDescent="0.2">
      <c r="A101">
        <v>420</v>
      </c>
      <c r="B101">
        <v>4.0199999999999996</v>
      </c>
      <c r="C101">
        <v>4.1500000000000004</v>
      </c>
      <c r="D101">
        <v>4.34</v>
      </c>
      <c r="E101">
        <v>4.7300000000000004</v>
      </c>
      <c r="F101">
        <v>4.79</v>
      </c>
    </row>
    <row r="102" spans="1:6" x14ac:dyDescent="0.2">
      <c r="A102">
        <v>425</v>
      </c>
      <c r="B102">
        <v>4.03</v>
      </c>
      <c r="C102">
        <v>4.16</v>
      </c>
      <c r="D102">
        <v>4.3600000000000003</v>
      </c>
      <c r="E102">
        <v>4.75</v>
      </c>
      <c r="F102">
        <v>4.8</v>
      </c>
    </row>
    <row r="103" spans="1:6" x14ac:dyDescent="0.2">
      <c r="A103">
        <v>430</v>
      </c>
      <c r="B103">
        <v>4.05</v>
      </c>
      <c r="C103">
        <v>4.18</v>
      </c>
      <c r="D103">
        <v>4.37</v>
      </c>
      <c r="E103">
        <v>4.76</v>
      </c>
      <c r="F103">
        <v>4.82</v>
      </c>
    </row>
    <row r="104" spans="1:6" x14ac:dyDescent="0.2">
      <c r="A104">
        <v>435</v>
      </c>
      <c r="B104">
        <v>4.0599999999999996</v>
      </c>
      <c r="C104">
        <v>4.1900000000000004</v>
      </c>
      <c r="D104">
        <v>4.38</v>
      </c>
      <c r="E104">
        <v>4.7699999999999996</v>
      </c>
      <c r="F104">
        <v>4.83</v>
      </c>
    </row>
    <row r="105" spans="1:6" x14ac:dyDescent="0.2">
      <c r="A105">
        <v>440</v>
      </c>
      <c r="B105">
        <v>4.08</v>
      </c>
      <c r="C105">
        <v>4.2</v>
      </c>
      <c r="D105">
        <v>4.3899999999999997</v>
      </c>
      <c r="E105">
        <v>4.78</v>
      </c>
      <c r="F105">
        <v>4.84</v>
      </c>
    </row>
    <row r="106" spans="1:6" x14ac:dyDescent="0.2">
      <c r="A106">
        <v>445</v>
      </c>
      <c r="B106">
        <v>4.0999999999999996</v>
      </c>
      <c r="C106">
        <v>4.22</v>
      </c>
      <c r="D106">
        <v>4.41</v>
      </c>
      <c r="E106">
        <v>4.8</v>
      </c>
      <c r="F106">
        <v>4.8600000000000003</v>
      </c>
    </row>
    <row r="107" spans="1:6" x14ac:dyDescent="0.2">
      <c r="A107">
        <v>450</v>
      </c>
      <c r="B107">
        <v>4.13</v>
      </c>
      <c r="C107">
        <v>4.25</v>
      </c>
      <c r="D107">
        <v>4.4400000000000004</v>
      </c>
      <c r="E107">
        <v>4.83</v>
      </c>
      <c r="F107">
        <v>4.8899999999999997</v>
      </c>
    </row>
    <row r="108" spans="1:6" x14ac:dyDescent="0.2">
      <c r="A108">
        <v>455</v>
      </c>
      <c r="B108">
        <v>4.1500000000000004</v>
      </c>
      <c r="C108">
        <v>4.2699999999999996</v>
      </c>
      <c r="D108">
        <v>4.46</v>
      </c>
      <c r="E108">
        <v>4.8499999999999996</v>
      </c>
      <c r="F108">
        <v>4.91</v>
      </c>
    </row>
    <row r="109" spans="1:6" x14ac:dyDescent="0.2">
      <c r="A109">
        <v>460</v>
      </c>
      <c r="B109">
        <v>4.17</v>
      </c>
      <c r="C109">
        <v>4.29</v>
      </c>
      <c r="D109">
        <v>4.4800000000000004</v>
      </c>
      <c r="E109">
        <v>4.87</v>
      </c>
      <c r="F109">
        <v>4.93</v>
      </c>
    </row>
    <row r="110" spans="1:6" x14ac:dyDescent="0.2">
      <c r="A110">
        <v>465</v>
      </c>
      <c r="B110">
        <v>4.2</v>
      </c>
      <c r="C110">
        <v>4.32</v>
      </c>
      <c r="D110">
        <v>4.8</v>
      </c>
      <c r="E110">
        <v>4.9000000000000004</v>
      </c>
      <c r="F110">
        <v>4.95</v>
      </c>
    </row>
    <row r="111" spans="1:6" x14ac:dyDescent="0.2">
      <c r="A111">
        <v>470</v>
      </c>
      <c r="B111">
        <v>4.2300000000000004</v>
      </c>
      <c r="C111">
        <v>4.3499999999999996</v>
      </c>
      <c r="D111">
        <v>4.53</v>
      </c>
      <c r="E111">
        <v>4.93</v>
      </c>
      <c r="F111">
        <v>4.9800000000000004</v>
      </c>
    </row>
    <row r="112" spans="1:6" x14ac:dyDescent="0.2">
      <c r="A112">
        <v>475</v>
      </c>
      <c r="B112">
        <v>4.25</v>
      </c>
      <c r="C112">
        <v>4.38</v>
      </c>
      <c r="D112">
        <v>4.5599999999999996</v>
      </c>
      <c r="E112">
        <v>4.95</v>
      </c>
      <c r="F112">
        <v>5.01</v>
      </c>
    </row>
    <row r="113" spans="1:6" x14ac:dyDescent="0.2">
      <c r="A113">
        <v>480</v>
      </c>
      <c r="B113">
        <v>4.28</v>
      </c>
      <c r="C113">
        <v>4.4000000000000004</v>
      </c>
      <c r="D113">
        <v>4.59</v>
      </c>
      <c r="E113">
        <v>4.9800000000000004</v>
      </c>
      <c r="F113">
        <v>5.04</v>
      </c>
    </row>
    <row r="114" spans="1:6" x14ac:dyDescent="0.2">
      <c r="A114">
        <v>485</v>
      </c>
      <c r="B114">
        <v>4.3099999999999996</v>
      </c>
      <c r="C114">
        <v>4.43</v>
      </c>
      <c r="D114">
        <v>4.62</v>
      </c>
      <c r="E114">
        <v>5.01</v>
      </c>
      <c r="F114">
        <v>5.07</v>
      </c>
    </row>
    <row r="115" spans="1:6" x14ac:dyDescent="0.2">
      <c r="A115">
        <v>490</v>
      </c>
      <c r="B115">
        <v>4.3499999999999996</v>
      </c>
      <c r="C115">
        <v>4.47</v>
      </c>
      <c r="D115">
        <v>4.66</v>
      </c>
      <c r="E115">
        <v>5.05</v>
      </c>
      <c r="F115">
        <v>5.0999999999999996</v>
      </c>
    </row>
    <row r="116" spans="1:6" x14ac:dyDescent="0.2">
      <c r="A116">
        <v>495</v>
      </c>
      <c r="B116">
        <v>4.38</v>
      </c>
      <c r="C116">
        <v>4.5</v>
      </c>
      <c r="D116">
        <v>4.6900000000000004</v>
      </c>
      <c r="E116">
        <v>5.08</v>
      </c>
      <c r="F116">
        <v>5.13</v>
      </c>
    </row>
    <row r="117" spans="1:6" x14ac:dyDescent="0.2">
      <c r="A117">
        <v>500</v>
      </c>
      <c r="B117">
        <v>4.41</v>
      </c>
      <c r="C117">
        <v>4.53</v>
      </c>
      <c r="D117">
        <v>4.72</v>
      </c>
      <c r="E117">
        <v>5.1100000000000003</v>
      </c>
      <c r="F117">
        <v>5.17</v>
      </c>
    </row>
    <row r="118" spans="1:6" x14ac:dyDescent="0.2">
      <c r="A118">
        <v>505</v>
      </c>
      <c r="B118">
        <v>4.45</v>
      </c>
      <c r="C118">
        <v>4.5599999999999996</v>
      </c>
      <c r="D118">
        <v>4.75</v>
      </c>
      <c r="E118">
        <v>5.14</v>
      </c>
      <c r="F118">
        <v>5.2</v>
      </c>
    </row>
    <row r="119" spans="1:6" x14ac:dyDescent="0.2">
      <c r="A119">
        <v>510</v>
      </c>
      <c r="B119">
        <v>4.4800000000000004</v>
      </c>
      <c r="C119">
        <v>4.59</v>
      </c>
      <c r="D119">
        <v>4.79</v>
      </c>
      <c r="E119">
        <v>5.17</v>
      </c>
      <c r="F119">
        <v>5.23</v>
      </c>
    </row>
    <row r="120" spans="1:6" x14ac:dyDescent="0.2">
      <c r="A120">
        <v>515</v>
      </c>
      <c r="B120">
        <v>4.51</v>
      </c>
      <c r="C120">
        <v>4.63</v>
      </c>
      <c r="D120">
        <v>4.82</v>
      </c>
      <c r="E120">
        <v>5.21</v>
      </c>
      <c r="F120">
        <v>5.27</v>
      </c>
    </row>
    <row r="121" spans="1:6" x14ac:dyDescent="0.2">
      <c r="A121">
        <v>520</v>
      </c>
      <c r="B121">
        <v>4.54</v>
      </c>
      <c r="C121">
        <v>4.66</v>
      </c>
      <c r="D121">
        <v>4.8499999999999996</v>
      </c>
      <c r="E121">
        <v>5.24</v>
      </c>
      <c r="F121">
        <v>5.3</v>
      </c>
    </row>
    <row r="122" spans="1:6" x14ac:dyDescent="0.2">
      <c r="A122">
        <v>525</v>
      </c>
      <c r="B122">
        <v>4.57</v>
      </c>
      <c r="C122">
        <v>4.6900000000000004</v>
      </c>
      <c r="D122">
        <v>4.87</v>
      </c>
      <c r="E122">
        <v>5.27</v>
      </c>
      <c r="F122">
        <v>5.33</v>
      </c>
    </row>
    <row r="123" spans="1:6" x14ac:dyDescent="0.2">
      <c r="A123">
        <v>530</v>
      </c>
      <c r="B123">
        <v>4.5999999999999996</v>
      </c>
      <c r="C123">
        <v>4.72</v>
      </c>
      <c r="D123">
        <v>4.91</v>
      </c>
      <c r="E123">
        <v>5.3</v>
      </c>
      <c r="F123">
        <v>5.36</v>
      </c>
    </row>
    <row r="124" spans="1:6" x14ac:dyDescent="0.2">
      <c r="A124">
        <v>535</v>
      </c>
      <c r="B124">
        <v>4.62</v>
      </c>
      <c r="C124">
        <v>4.75</v>
      </c>
      <c r="D124">
        <v>4.93</v>
      </c>
      <c r="E124">
        <v>5.33</v>
      </c>
      <c r="F124">
        <v>5.39</v>
      </c>
    </row>
    <row r="125" spans="1:6" x14ac:dyDescent="0.2">
      <c r="A125">
        <v>540</v>
      </c>
      <c r="B125">
        <v>4.6500000000000004</v>
      </c>
      <c r="C125">
        <v>4.78</v>
      </c>
      <c r="D125">
        <v>4.97</v>
      </c>
      <c r="E125">
        <v>5.36</v>
      </c>
      <c r="F125">
        <v>5.42</v>
      </c>
    </row>
    <row r="126" spans="1:6" x14ac:dyDescent="0.2">
      <c r="A126">
        <v>545</v>
      </c>
      <c r="B126">
        <v>4.67</v>
      </c>
      <c r="C126">
        <v>4.8</v>
      </c>
      <c r="D126">
        <v>4.99</v>
      </c>
      <c r="E126">
        <v>5.38</v>
      </c>
      <c r="F126">
        <v>5.44</v>
      </c>
    </row>
    <row r="127" spans="1:6" x14ac:dyDescent="0.2">
      <c r="A127">
        <v>550</v>
      </c>
      <c r="B127">
        <v>4.7</v>
      </c>
      <c r="C127">
        <v>4.82</v>
      </c>
      <c r="D127">
        <v>5.01</v>
      </c>
      <c r="E127">
        <v>5.4</v>
      </c>
      <c r="F127">
        <v>5.46</v>
      </c>
    </row>
    <row r="128" spans="1:6" x14ac:dyDescent="0.2">
      <c r="A128">
        <v>555</v>
      </c>
      <c r="B128">
        <v>4.72</v>
      </c>
      <c r="C128">
        <v>4.84</v>
      </c>
      <c r="D128">
        <v>5.03</v>
      </c>
      <c r="E128">
        <v>5.42</v>
      </c>
      <c r="F128">
        <v>5.48</v>
      </c>
    </row>
    <row r="129" spans="1:6" x14ac:dyDescent="0.2">
      <c r="A129">
        <v>560</v>
      </c>
      <c r="B129">
        <v>4.74</v>
      </c>
      <c r="C129">
        <v>4.8600000000000003</v>
      </c>
      <c r="D129">
        <v>5.05</v>
      </c>
      <c r="E129">
        <v>5.44</v>
      </c>
      <c r="F129">
        <v>5.5</v>
      </c>
    </row>
    <row r="130" spans="1:6" x14ac:dyDescent="0.2">
      <c r="A130">
        <v>565</v>
      </c>
      <c r="B130">
        <v>4.75</v>
      </c>
      <c r="C130">
        <v>4.87</v>
      </c>
      <c r="D130">
        <v>5.07</v>
      </c>
      <c r="E130">
        <v>5.45</v>
      </c>
      <c r="F130">
        <v>5.51</v>
      </c>
    </row>
    <row r="131" spans="1:6" x14ac:dyDescent="0.2">
      <c r="A131">
        <v>570</v>
      </c>
      <c r="B131">
        <v>4.7699999999999996</v>
      </c>
      <c r="C131">
        <v>4.8899999999999997</v>
      </c>
      <c r="D131">
        <v>5.08</v>
      </c>
      <c r="E131">
        <v>5.46</v>
      </c>
      <c r="F131">
        <v>5.52</v>
      </c>
    </row>
    <row r="132" spans="1:6" x14ac:dyDescent="0.2">
      <c r="A132">
        <v>575</v>
      </c>
      <c r="B132">
        <v>4.78</v>
      </c>
      <c r="C132">
        <v>4.9000000000000004</v>
      </c>
      <c r="D132">
        <v>5.09</v>
      </c>
      <c r="E132">
        <v>5.47</v>
      </c>
      <c r="F132">
        <v>5.53</v>
      </c>
    </row>
    <row r="133" spans="1:6" x14ac:dyDescent="0.2">
      <c r="A133">
        <v>580</v>
      </c>
      <c r="B133">
        <v>4.79</v>
      </c>
      <c r="C133">
        <v>4.91</v>
      </c>
      <c r="D133">
        <v>5.0999999999999996</v>
      </c>
      <c r="E133">
        <v>5.49</v>
      </c>
      <c r="F133">
        <v>5.55</v>
      </c>
    </row>
    <row r="134" spans="1:6" x14ac:dyDescent="0.2">
      <c r="A134">
        <v>585</v>
      </c>
      <c r="B134">
        <v>4.8</v>
      </c>
      <c r="C134">
        <v>4.92</v>
      </c>
      <c r="D134">
        <v>5.1100000000000003</v>
      </c>
      <c r="E134">
        <v>5.5</v>
      </c>
      <c r="F134">
        <v>5.55</v>
      </c>
    </row>
    <row r="135" spans="1:6" x14ac:dyDescent="0.2">
      <c r="A135">
        <v>590</v>
      </c>
      <c r="B135">
        <v>4.8099999999999996</v>
      </c>
      <c r="C135">
        <v>4.93</v>
      </c>
      <c r="D135">
        <v>5.12</v>
      </c>
      <c r="E135">
        <v>5.51</v>
      </c>
      <c r="F135">
        <v>5.56</v>
      </c>
    </row>
    <row r="136" spans="1:6" x14ac:dyDescent="0.2">
      <c r="A136">
        <v>595</v>
      </c>
      <c r="B136">
        <v>4.8099999999999996</v>
      </c>
      <c r="C136">
        <v>4.93</v>
      </c>
      <c r="D136">
        <v>5.12</v>
      </c>
      <c r="E136">
        <v>5.51</v>
      </c>
      <c r="F136">
        <v>5.57</v>
      </c>
    </row>
    <row r="137" spans="1:6" x14ac:dyDescent="0.2">
      <c r="A137">
        <v>600</v>
      </c>
      <c r="B137">
        <v>4.82</v>
      </c>
      <c r="C137">
        <v>4.9400000000000004</v>
      </c>
      <c r="D137">
        <v>5.13</v>
      </c>
      <c r="E137">
        <v>5.52</v>
      </c>
      <c r="F137">
        <v>5.58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EC799-64AA-4F8D-B1B2-7093F76168C7}">
  <sheetPr codeName="Sheet2"/>
  <dimension ref="A1:F144"/>
  <sheetViews>
    <sheetView topLeftCell="A116" zoomScale="180" zoomScaleNormal="180" workbookViewId="0">
      <selection activeCell="G5" sqref="G5"/>
    </sheetView>
  </sheetViews>
  <sheetFormatPr baseColWidth="10" defaultColWidth="8.83203125" defaultRowHeight="15" x14ac:dyDescent="0.2"/>
  <cols>
    <col min="3" max="3" width="9.1640625" customWidth="1"/>
    <col min="5" max="5" width="9.6640625" bestFit="1" customWidth="1"/>
    <col min="6" max="6" width="11.6640625" customWidth="1"/>
  </cols>
  <sheetData>
    <row r="1" spans="1:6" x14ac:dyDescent="0.2">
      <c r="B1" t="s">
        <v>25</v>
      </c>
      <c r="C1" t="s">
        <v>34</v>
      </c>
      <c r="D1" t="s">
        <v>26</v>
      </c>
      <c r="E1" t="s">
        <v>28</v>
      </c>
      <c r="F1" t="s">
        <v>27</v>
      </c>
    </row>
    <row r="2" spans="1:6" x14ac:dyDescent="0.2">
      <c r="A2" t="s">
        <v>7</v>
      </c>
      <c r="B2">
        <v>410</v>
      </c>
      <c r="C2" t="str">
        <f>IF(B2&gt;230,"&gt;230",IF(B2&gt;180,"180-230",IF(B2&gt;110,"110-180",IF(B2&gt;50,"50-110",IF(B2&gt;25,"25-50",IF(B2&gt;0,"0-25"))))))</f>
        <v>&gt;230</v>
      </c>
      <c r="D2" t="s">
        <v>1</v>
      </c>
      <c r="E2">
        <f>IF(B2&gt;0,INDEX('PGA Shot Table'!$B$2:$G$137,MATCH(Template!B2,'PGA Shot Table'!$A$2:$A$137,0),MATCH(Template!D2,'PGA Shot Table'!$B$1:$G$1,0)),0)</f>
        <v>4.01</v>
      </c>
      <c r="F2">
        <f>IF(A3&lt;&gt;"", E2-1, E2-E3-1)</f>
        <v>3.01</v>
      </c>
    </row>
    <row r="3" spans="1:6" x14ac:dyDescent="0.2">
      <c r="C3" t="b">
        <f t="shared" ref="C3:C66" si="0">IF(B3&gt;230,"&gt;230",IF(B3&gt;180,"180-230",IF(B3&gt;110,"110-180",IF(B3&gt;50,"50-110",IF(B3&gt;25,"25-50",IF(B3&gt;0,"0-25"))))))</f>
        <v>0</v>
      </c>
      <c r="E3">
        <f>IF(B3&gt;0,INDEX('PGA Shot Table'!$B$2:$G$137,MATCH(Template!B3,'PGA Shot Table'!$A$2:$A$137,0),MATCH(Template!D3,'PGA Shot Table'!$B$1:$G$1,0)),0)</f>
        <v>0</v>
      </c>
    </row>
    <row r="4" spans="1:6" x14ac:dyDescent="0.2">
      <c r="C4" t="b">
        <f t="shared" si="0"/>
        <v>0</v>
      </c>
      <c r="E4">
        <f>IF(B4&gt;0,INDEX('PGA Shot Table'!$B$2:$G$137,MATCH(Template!B4,'PGA Shot Table'!$A$2:$A$137,0),MATCH(Template!D4,'PGA Shot Table'!$B$1:$G$1,0)),0)</f>
        <v>0</v>
      </c>
    </row>
    <row r="5" spans="1:6" x14ac:dyDescent="0.2">
      <c r="C5" t="b">
        <f t="shared" si="0"/>
        <v>0</v>
      </c>
      <c r="E5">
        <f>IF(B5&gt;0,INDEX('PGA Shot Table'!$B$2:$G$137,MATCH(Template!B5,'PGA Shot Table'!$A$2:$A$137,0),MATCH(Template!D5,'PGA Shot Table'!$B$1:$G$1,0)),0)</f>
        <v>0</v>
      </c>
    </row>
    <row r="6" spans="1:6" x14ac:dyDescent="0.2">
      <c r="C6" t="b">
        <f t="shared" si="0"/>
        <v>0</v>
      </c>
      <c r="E6">
        <f>IF(B6&gt;0,INDEX('PGA Shot Table'!$B$2:$G$137,MATCH(Template!B6,'PGA Shot Table'!$A$2:$A$137,0),MATCH(Template!D6,'PGA Shot Table'!$B$1:$G$1,0)),0)</f>
        <v>0</v>
      </c>
    </row>
    <row r="7" spans="1:6" x14ac:dyDescent="0.2">
      <c r="C7" t="b">
        <f t="shared" si="0"/>
        <v>0</v>
      </c>
      <c r="E7">
        <f>IF(B7&gt;0,INDEX('PGA Shot Table'!$B$2:$G$137,MATCH(Template!B7,'PGA Shot Table'!$A$2:$A$137,0),MATCH(Template!D7,'PGA Shot Table'!$B$1:$G$1,0)),0)</f>
        <v>0</v>
      </c>
    </row>
    <row r="8" spans="1:6" x14ac:dyDescent="0.2">
      <c r="C8" t="b">
        <f t="shared" si="0"/>
        <v>0</v>
      </c>
      <c r="E8">
        <f>IF(B8&gt;0,INDEX('PGA Shot Table'!$B$2:$G$137,MATCH(Template!B8,'PGA Shot Table'!$A$2:$A$137,0),MATCH(Template!D8,'PGA Shot Table'!$B$1:$G$1,0)),0)</f>
        <v>0</v>
      </c>
    </row>
    <row r="9" spans="1:6" x14ac:dyDescent="0.2">
      <c r="C9" t="b">
        <f t="shared" si="0"/>
        <v>0</v>
      </c>
      <c r="E9">
        <f>IF(B9&gt;0,INDEX('PGA Shot Table'!$B$2:$G$137,MATCH(Template!B9,'PGA Shot Table'!$A$2:$A$137,0),MATCH(Template!D9,'PGA Shot Table'!$B$1:$G$1,0)),0)</f>
        <v>0</v>
      </c>
    </row>
    <row r="10" spans="1:6" x14ac:dyDescent="0.2">
      <c r="A10" t="s">
        <v>8</v>
      </c>
      <c r="B10">
        <v>150</v>
      </c>
      <c r="C10" t="str">
        <f t="shared" si="0"/>
        <v>110-180</v>
      </c>
      <c r="D10" t="s">
        <v>2</v>
      </c>
      <c r="E10">
        <f>IF(B10&gt;0,INDEX('PGA Shot Table'!$B$2:$G$137,MATCH(Template!B10,'PGA Shot Table'!$A$2:$A$137,0),MATCH(Template!D10,'PGA Shot Table'!$B$1:$G$1,0)),0)</f>
        <v>2.95</v>
      </c>
    </row>
    <row r="11" spans="1:6" x14ac:dyDescent="0.2">
      <c r="C11" t="b">
        <f t="shared" si="0"/>
        <v>0</v>
      </c>
      <c r="E11">
        <f>IF(B11&gt;0,INDEX('PGA Shot Table'!$B$2:$G$137,MATCH(Template!B11,'PGA Shot Table'!$A$2:$A$137,0),MATCH(Template!D11,'PGA Shot Table'!$B$1:$G$1,0)),0)</f>
        <v>0</v>
      </c>
    </row>
    <row r="12" spans="1:6" x14ac:dyDescent="0.2">
      <c r="C12" t="b">
        <f t="shared" si="0"/>
        <v>0</v>
      </c>
      <c r="E12">
        <f>IF(B12&gt;0,INDEX('PGA Shot Table'!$B$2:$G$137,MATCH(Template!B12,'PGA Shot Table'!$A$2:$A$137,0),MATCH(Template!D12,'PGA Shot Table'!$B$1:$G$1,0)),0)</f>
        <v>0</v>
      </c>
    </row>
    <row r="13" spans="1:6" x14ac:dyDescent="0.2">
      <c r="C13" t="b">
        <f t="shared" si="0"/>
        <v>0</v>
      </c>
      <c r="E13">
        <f>IF(B13&gt;0,INDEX('PGA Shot Table'!$B$2:$G$137,MATCH(Template!B13,'PGA Shot Table'!$A$2:$A$137,0),MATCH(Template!D13,'PGA Shot Table'!$B$1:$G$1,0)),0)</f>
        <v>0</v>
      </c>
    </row>
    <row r="14" spans="1:6" x14ac:dyDescent="0.2">
      <c r="C14" t="b">
        <f t="shared" si="0"/>
        <v>0</v>
      </c>
      <c r="E14">
        <f>IF(B14&gt;0,INDEX('PGA Shot Table'!$B$2:$G$137,MATCH(Template!B14,'PGA Shot Table'!$A$2:$A$137,0),MATCH(Template!D14,'PGA Shot Table'!$B$1:$G$1,0)),0)</f>
        <v>0</v>
      </c>
    </row>
    <row r="15" spans="1:6" x14ac:dyDescent="0.2">
      <c r="C15" t="b">
        <f t="shared" si="0"/>
        <v>0</v>
      </c>
      <c r="E15">
        <f>IF(B15&gt;0,INDEX('PGA Shot Table'!$B$2:$G$137,MATCH(Template!B15,'PGA Shot Table'!$A$2:$A$137,0),MATCH(Template!D15,'PGA Shot Table'!$B$1:$G$1,0)),0)</f>
        <v>0</v>
      </c>
    </row>
    <row r="16" spans="1:6" x14ac:dyDescent="0.2">
      <c r="C16" t="b">
        <f t="shared" si="0"/>
        <v>0</v>
      </c>
      <c r="E16">
        <f>IF(B16&gt;0,INDEX('PGA Shot Table'!$B$2:$G$137,MATCH(Template!B16,'PGA Shot Table'!$A$2:$A$137,0),MATCH(Template!D16,'PGA Shot Table'!$B$1:$G$1,0)),0)</f>
        <v>0</v>
      </c>
    </row>
    <row r="17" spans="1:5" x14ac:dyDescent="0.2">
      <c r="C17" t="b">
        <f t="shared" si="0"/>
        <v>0</v>
      </c>
      <c r="E17">
        <f>IF(B17&gt;0,INDEX('PGA Shot Table'!$B$2:$G$137,MATCH(Template!B17,'PGA Shot Table'!$A$2:$A$137,0),MATCH(Template!D17,'PGA Shot Table'!$B$1:$G$1,0)),0)</f>
        <v>0</v>
      </c>
    </row>
    <row r="18" spans="1:5" x14ac:dyDescent="0.2">
      <c r="A18" t="s">
        <v>9</v>
      </c>
      <c r="B18">
        <v>510</v>
      </c>
      <c r="C18" t="str">
        <f t="shared" si="0"/>
        <v>&gt;230</v>
      </c>
      <c r="D18" t="s">
        <v>1</v>
      </c>
      <c r="E18">
        <f>IF(B18&gt;0,INDEX('PGA Shot Table'!$B$2:$G$137,MATCH(Template!B18,'PGA Shot Table'!$A$2:$A$137,0),MATCH(Template!D18,'PGA Shot Table'!$B$1:$G$1,0)),0)</f>
        <v>4.4800000000000004</v>
      </c>
    </row>
    <row r="19" spans="1:5" x14ac:dyDescent="0.2">
      <c r="C19" t="b">
        <f t="shared" si="0"/>
        <v>0</v>
      </c>
      <c r="E19">
        <f>IF(B19&gt;0,INDEX('PGA Shot Table'!$B$2:$G$137,MATCH(Template!B19,'PGA Shot Table'!$A$2:$A$137,0),MATCH(Template!D19,'PGA Shot Table'!$B$1:$G$1,0)),0)</f>
        <v>0</v>
      </c>
    </row>
    <row r="20" spans="1:5" x14ac:dyDescent="0.2">
      <c r="C20" t="b">
        <f t="shared" si="0"/>
        <v>0</v>
      </c>
      <c r="E20">
        <f>IF(B20&gt;0,INDEX('PGA Shot Table'!$B$2:$G$137,MATCH(Template!B20,'PGA Shot Table'!$A$2:$A$137,0),MATCH(Template!D20,'PGA Shot Table'!$B$1:$G$1,0)),0)</f>
        <v>0</v>
      </c>
    </row>
    <row r="21" spans="1:5" x14ac:dyDescent="0.2">
      <c r="C21" t="b">
        <f t="shared" si="0"/>
        <v>0</v>
      </c>
      <c r="E21">
        <f>IF(B21&gt;0,INDEX('PGA Shot Table'!$B$2:$G$137,MATCH(Template!B21,'PGA Shot Table'!$A$2:$A$137,0),MATCH(Template!D21,'PGA Shot Table'!$B$1:$G$1,0)),0)</f>
        <v>0</v>
      </c>
    </row>
    <row r="22" spans="1:5" x14ac:dyDescent="0.2">
      <c r="C22" t="b">
        <f t="shared" si="0"/>
        <v>0</v>
      </c>
      <c r="E22">
        <f>IF(B22&gt;0,INDEX('PGA Shot Table'!$B$2:$G$137,MATCH(Template!B22,'PGA Shot Table'!$A$2:$A$137,0),MATCH(Template!D22,'PGA Shot Table'!$B$1:$G$1,0)),0)</f>
        <v>0</v>
      </c>
    </row>
    <row r="23" spans="1:5" x14ac:dyDescent="0.2">
      <c r="C23" t="b">
        <f t="shared" si="0"/>
        <v>0</v>
      </c>
      <c r="E23">
        <f>IF(B23&gt;0,INDEX('PGA Shot Table'!$B$2:$G$137,MATCH(Template!B23,'PGA Shot Table'!$A$2:$A$137,0),MATCH(Template!D23,'PGA Shot Table'!$B$1:$G$1,0)),0)</f>
        <v>0</v>
      </c>
    </row>
    <row r="24" spans="1:5" x14ac:dyDescent="0.2">
      <c r="C24" t="b">
        <f t="shared" si="0"/>
        <v>0</v>
      </c>
      <c r="E24">
        <f>IF(B24&gt;0,INDEX('PGA Shot Table'!$B$2:$G$137,MATCH(Template!B24,'PGA Shot Table'!$A$2:$A$137,0),MATCH(Template!D24,'PGA Shot Table'!$B$1:$G$1,0)),0)</f>
        <v>0</v>
      </c>
    </row>
    <row r="25" spans="1:5" x14ac:dyDescent="0.2">
      <c r="C25" t="b">
        <f t="shared" si="0"/>
        <v>0</v>
      </c>
      <c r="E25">
        <f>IF(B25&gt;0,INDEX('PGA Shot Table'!$B$2:$G$137,MATCH(Template!B25,'PGA Shot Table'!$A$2:$A$137,0),MATCH(Template!D25,'PGA Shot Table'!$B$1:$G$1,0)),0)</f>
        <v>0</v>
      </c>
    </row>
    <row r="26" spans="1:5" x14ac:dyDescent="0.2">
      <c r="A26" t="s">
        <v>10</v>
      </c>
      <c r="B26">
        <v>405</v>
      </c>
      <c r="C26" t="str">
        <f t="shared" si="0"/>
        <v>&gt;230</v>
      </c>
      <c r="D26" t="s">
        <v>1</v>
      </c>
      <c r="E26">
        <f>IF(B26&gt;0,INDEX('PGA Shot Table'!$B$2:$G$137,MATCH(Template!B26,'PGA Shot Table'!$A$2:$A$137,0),MATCH(Template!D26,'PGA Shot Table'!$B$1:$G$1,0)),0)</f>
        <v>4</v>
      </c>
    </row>
    <row r="27" spans="1:5" x14ac:dyDescent="0.2">
      <c r="C27" t="b">
        <f t="shared" si="0"/>
        <v>0</v>
      </c>
      <c r="E27">
        <f>IF(B27&gt;0,INDEX('PGA Shot Table'!$B$2:$G$137,MATCH(Template!B27,'PGA Shot Table'!$A$2:$A$137,0),MATCH(Template!D27,'PGA Shot Table'!$B$1:$G$1,0)),0)</f>
        <v>0</v>
      </c>
    </row>
    <row r="28" spans="1:5" x14ac:dyDescent="0.2">
      <c r="C28" t="b">
        <f t="shared" si="0"/>
        <v>0</v>
      </c>
      <c r="E28">
        <f>IF(B28&gt;0,INDEX('PGA Shot Table'!$B$2:$G$137,MATCH(Template!B28,'PGA Shot Table'!$A$2:$A$137,0),MATCH(Template!D28,'PGA Shot Table'!$B$1:$G$1,0)),0)</f>
        <v>0</v>
      </c>
    </row>
    <row r="29" spans="1:5" x14ac:dyDescent="0.2">
      <c r="C29" t="b">
        <f t="shared" si="0"/>
        <v>0</v>
      </c>
      <c r="E29">
        <f>IF(B29&gt;0,INDEX('PGA Shot Table'!$B$2:$G$137,MATCH(Template!B29,'PGA Shot Table'!$A$2:$A$137,0),MATCH(Template!D29,'PGA Shot Table'!$B$1:$G$1,0)),0)</f>
        <v>0</v>
      </c>
    </row>
    <row r="30" spans="1:5" x14ac:dyDescent="0.2">
      <c r="C30" t="b">
        <f t="shared" si="0"/>
        <v>0</v>
      </c>
      <c r="E30">
        <f>IF(B30&gt;0,INDEX('PGA Shot Table'!$B$2:$G$137,MATCH(Template!B30,'PGA Shot Table'!$A$2:$A$137,0),MATCH(Template!D30,'PGA Shot Table'!$B$1:$G$1,0)),0)</f>
        <v>0</v>
      </c>
    </row>
    <row r="31" spans="1:5" x14ac:dyDescent="0.2">
      <c r="C31" t="b">
        <f t="shared" si="0"/>
        <v>0</v>
      </c>
      <c r="E31">
        <f>IF(B31&gt;0,INDEX('PGA Shot Table'!$B$2:$G$137,MATCH(Template!B31,'PGA Shot Table'!$A$2:$A$137,0),MATCH(Template!D31,'PGA Shot Table'!$B$1:$G$1,0)),0)</f>
        <v>0</v>
      </c>
    </row>
    <row r="32" spans="1:5" x14ac:dyDescent="0.2">
      <c r="C32" t="b">
        <f t="shared" si="0"/>
        <v>0</v>
      </c>
      <c r="E32">
        <f>IF(B32&gt;0,INDEX('PGA Shot Table'!$B$2:$G$137,MATCH(Template!B32,'PGA Shot Table'!$A$2:$A$137,0),MATCH(Template!D32,'PGA Shot Table'!$B$1:$G$1,0)),0)</f>
        <v>0</v>
      </c>
    </row>
    <row r="33" spans="1:5" x14ac:dyDescent="0.2">
      <c r="C33" t="b">
        <f t="shared" si="0"/>
        <v>0</v>
      </c>
      <c r="E33">
        <f>IF(B33&gt;0,INDEX('PGA Shot Table'!$B$2:$G$137,MATCH(Template!B33,'PGA Shot Table'!$A$2:$A$137,0),MATCH(Template!D33,'PGA Shot Table'!$B$1:$G$1,0)),0)</f>
        <v>0</v>
      </c>
    </row>
    <row r="34" spans="1:5" x14ac:dyDescent="0.2">
      <c r="A34" t="s">
        <v>11</v>
      </c>
      <c r="B34">
        <v>525</v>
      </c>
      <c r="C34" t="str">
        <f t="shared" si="0"/>
        <v>&gt;230</v>
      </c>
      <c r="D34" t="s">
        <v>1</v>
      </c>
      <c r="E34">
        <f>IF(B34&gt;0,INDEX('PGA Shot Table'!$B$2:$G$137,MATCH(Template!B34,'PGA Shot Table'!$A$2:$A$137,0),MATCH(Template!D34,'PGA Shot Table'!$B$1:$G$1,0)),0)</f>
        <v>4.57</v>
      </c>
    </row>
    <row r="35" spans="1:5" x14ac:dyDescent="0.2">
      <c r="C35" t="b">
        <f t="shared" si="0"/>
        <v>0</v>
      </c>
      <c r="E35">
        <f>IF(B35&gt;0,INDEX('PGA Shot Table'!$B$2:$G$137,MATCH(Template!B35,'PGA Shot Table'!$A$2:$A$137,0),MATCH(Template!D35,'PGA Shot Table'!$B$1:$G$1,0)),0)</f>
        <v>0</v>
      </c>
    </row>
    <row r="36" spans="1:5" x14ac:dyDescent="0.2">
      <c r="C36" t="b">
        <f t="shared" si="0"/>
        <v>0</v>
      </c>
      <c r="E36">
        <f>IF(B36&gt;0,INDEX('PGA Shot Table'!$B$2:$G$137,MATCH(Template!B36,'PGA Shot Table'!$A$2:$A$137,0),MATCH(Template!D36,'PGA Shot Table'!$B$1:$G$1,0)),0)</f>
        <v>0</v>
      </c>
    </row>
    <row r="37" spans="1:5" x14ac:dyDescent="0.2">
      <c r="C37" t="b">
        <f t="shared" si="0"/>
        <v>0</v>
      </c>
      <c r="E37">
        <f>IF(B37&gt;0,INDEX('PGA Shot Table'!$B$2:$G$137,MATCH(Template!B37,'PGA Shot Table'!$A$2:$A$137,0),MATCH(Template!D37,'PGA Shot Table'!$B$1:$G$1,0)),0)</f>
        <v>0</v>
      </c>
    </row>
    <row r="38" spans="1:5" x14ac:dyDescent="0.2">
      <c r="C38" t="b">
        <f t="shared" si="0"/>
        <v>0</v>
      </c>
      <c r="E38">
        <f>IF(B38&gt;0,INDEX('PGA Shot Table'!$B$2:$G$137,MATCH(Template!B38,'PGA Shot Table'!$A$2:$A$137,0),MATCH(Template!D38,'PGA Shot Table'!$B$1:$G$1,0)),0)</f>
        <v>0</v>
      </c>
    </row>
    <row r="39" spans="1:5" x14ac:dyDescent="0.2">
      <c r="C39" t="b">
        <f t="shared" si="0"/>
        <v>0</v>
      </c>
      <c r="E39">
        <f>IF(B39&gt;0,INDEX('PGA Shot Table'!$B$2:$G$137,MATCH(Template!B39,'PGA Shot Table'!$A$2:$A$137,0),MATCH(Template!D39,'PGA Shot Table'!$B$1:$G$1,0)),0)</f>
        <v>0</v>
      </c>
    </row>
    <row r="40" spans="1:5" x14ac:dyDescent="0.2">
      <c r="C40" t="b">
        <f t="shared" si="0"/>
        <v>0</v>
      </c>
      <c r="E40">
        <f>IF(B40&gt;0,INDEX('PGA Shot Table'!$B$2:$G$137,MATCH(Template!B40,'PGA Shot Table'!$A$2:$A$137,0),MATCH(Template!D40,'PGA Shot Table'!$B$1:$G$1,0)),0)</f>
        <v>0</v>
      </c>
    </row>
    <row r="41" spans="1:5" x14ac:dyDescent="0.2">
      <c r="C41" t="b">
        <f t="shared" si="0"/>
        <v>0</v>
      </c>
      <c r="E41">
        <f>IF(B41&gt;0,INDEX('PGA Shot Table'!$B$2:$G$137,MATCH(Template!B41,'PGA Shot Table'!$A$2:$A$137,0),MATCH(Template!D41,'PGA Shot Table'!$B$1:$G$1,0)),0)</f>
        <v>0</v>
      </c>
    </row>
    <row r="42" spans="1:5" x14ac:dyDescent="0.2">
      <c r="A42" t="s">
        <v>12</v>
      </c>
      <c r="B42">
        <v>370</v>
      </c>
      <c r="C42" t="str">
        <f t="shared" si="0"/>
        <v>&gt;230</v>
      </c>
      <c r="D42" t="s">
        <v>1</v>
      </c>
      <c r="E42">
        <f>IF(B42&gt;0,INDEX('PGA Shot Table'!$B$2:$G$137,MATCH(Template!B42,'PGA Shot Table'!$A$2:$A$137,0),MATCH(Template!D42,'PGA Shot Table'!$B$1:$G$1,0)),0)</f>
        <v>3.94</v>
      </c>
    </row>
    <row r="43" spans="1:5" x14ac:dyDescent="0.2">
      <c r="C43" t="b">
        <f t="shared" si="0"/>
        <v>0</v>
      </c>
      <c r="E43">
        <f>IF(B43&gt;0,INDEX('PGA Shot Table'!$B$2:$G$137,MATCH(Template!B43,'PGA Shot Table'!$A$2:$A$137,0),MATCH(Template!D43,'PGA Shot Table'!$B$1:$G$1,0)),0)</f>
        <v>0</v>
      </c>
    </row>
    <row r="44" spans="1:5" x14ac:dyDescent="0.2">
      <c r="C44" t="b">
        <f t="shared" si="0"/>
        <v>0</v>
      </c>
      <c r="E44">
        <f>IF(B44&gt;0,INDEX('PGA Shot Table'!$B$2:$G$137,MATCH(Template!B44,'PGA Shot Table'!$A$2:$A$137,0),MATCH(Template!D44,'PGA Shot Table'!$B$1:$G$1,0)),0)</f>
        <v>0</v>
      </c>
    </row>
    <row r="45" spans="1:5" x14ac:dyDescent="0.2">
      <c r="C45" t="b">
        <f t="shared" si="0"/>
        <v>0</v>
      </c>
      <c r="E45">
        <f>IF(B45&gt;0,INDEX('PGA Shot Table'!$B$2:$G$137,MATCH(Template!B45,'PGA Shot Table'!$A$2:$A$137,0),MATCH(Template!D45,'PGA Shot Table'!$B$1:$G$1,0)),0)</f>
        <v>0</v>
      </c>
    </row>
    <row r="46" spans="1:5" x14ac:dyDescent="0.2">
      <c r="C46" t="b">
        <f t="shared" si="0"/>
        <v>0</v>
      </c>
      <c r="E46">
        <f>IF(B46&gt;0,INDEX('PGA Shot Table'!$B$2:$G$137,MATCH(Template!B46,'PGA Shot Table'!$A$2:$A$137,0),MATCH(Template!D46,'PGA Shot Table'!$B$1:$G$1,0)),0)</f>
        <v>0</v>
      </c>
    </row>
    <row r="47" spans="1:5" x14ac:dyDescent="0.2">
      <c r="C47" t="b">
        <f t="shared" si="0"/>
        <v>0</v>
      </c>
      <c r="E47">
        <f>IF(B47&gt;0,INDEX('PGA Shot Table'!$B$2:$G$137,MATCH(Template!B47,'PGA Shot Table'!$A$2:$A$137,0),MATCH(Template!D47,'PGA Shot Table'!$B$1:$G$1,0)),0)</f>
        <v>0</v>
      </c>
    </row>
    <row r="48" spans="1:5" x14ac:dyDescent="0.2">
      <c r="C48" t="b">
        <f t="shared" si="0"/>
        <v>0</v>
      </c>
      <c r="E48">
        <f>IF(B48&gt;0,INDEX('PGA Shot Table'!$B$2:$G$137,MATCH(Template!B48,'PGA Shot Table'!$A$2:$A$137,0),MATCH(Template!D48,'PGA Shot Table'!$B$1:$G$1,0)),0)</f>
        <v>0</v>
      </c>
    </row>
    <row r="49" spans="1:5" x14ac:dyDescent="0.2">
      <c r="C49" t="b">
        <f t="shared" si="0"/>
        <v>0</v>
      </c>
      <c r="E49">
        <f>IF(B49&gt;0,INDEX('PGA Shot Table'!$B$2:$G$137,MATCH(Template!B49,'PGA Shot Table'!$A$2:$A$137,0),MATCH(Template!D49,'PGA Shot Table'!$B$1:$G$1,0)),0)</f>
        <v>0</v>
      </c>
    </row>
    <row r="50" spans="1:5" x14ac:dyDescent="0.2">
      <c r="A50" t="s">
        <v>13</v>
      </c>
      <c r="B50">
        <v>510</v>
      </c>
      <c r="C50" t="str">
        <f t="shared" si="0"/>
        <v>&gt;230</v>
      </c>
      <c r="D50" t="s">
        <v>1</v>
      </c>
      <c r="E50">
        <f>IF(B50&gt;0,INDEX('PGA Shot Table'!$B$2:$G$137,MATCH(Template!B50,'PGA Shot Table'!$A$2:$A$137,0),MATCH(Template!D50,'PGA Shot Table'!$B$1:$G$1,0)),0)</f>
        <v>4.4800000000000004</v>
      </c>
    </row>
    <row r="51" spans="1:5" x14ac:dyDescent="0.2">
      <c r="C51" t="b">
        <f t="shared" si="0"/>
        <v>0</v>
      </c>
      <c r="E51">
        <f>IF(B51&gt;0,INDEX('PGA Shot Table'!$B$2:$G$137,MATCH(Template!B51,'PGA Shot Table'!$A$2:$A$137,0),MATCH(Template!D51,'PGA Shot Table'!$B$1:$G$1,0)),0)</f>
        <v>0</v>
      </c>
    </row>
    <row r="52" spans="1:5" x14ac:dyDescent="0.2">
      <c r="C52" t="b">
        <f t="shared" si="0"/>
        <v>0</v>
      </c>
      <c r="E52">
        <f>IF(B52&gt;0,INDEX('PGA Shot Table'!$B$2:$G$137,MATCH(Template!B52,'PGA Shot Table'!$A$2:$A$137,0),MATCH(Template!D52,'PGA Shot Table'!$B$1:$G$1,0)),0)</f>
        <v>0</v>
      </c>
    </row>
    <row r="53" spans="1:5" x14ac:dyDescent="0.2">
      <c r="C53" t="b">
        <f t="shared" si="0"/>
        <v>0</v>
      </c>
      <c r="E53">
        <f>IF(B53&gt;0,INDEX('PGA Shot Table'!$B$2:$G$137,MATCH(Template!B53,'PGA Shot Table'!$A$2:$A$137,0),MATCH(Template!D53,'PGA Shot Table'!$B$1:$G$1,0)),0)</f>
        <v>0</v>
      </c>
    </row>
    <row r="54" spans="1:5" x14ac:dyDescent="0.2">
      <c r="C54" t="b">
        <f t="shared" si="0"/>
        <v>0</v>
      </c>
      <c r="E54">
        <f>IF(B54&gt;0,INDEX('PGA Shot Table'!$B$2:$G$137,MATCH(Template!B54,'PGA Shot Table'!$A$2:$A$137,0),MATCH(Template!D54,'PGA Shot Table'!$B$1:$G$1,0)),0)</f>
        <v>0</v>
      </c>
    </row>
    <row r="55" spans="1:5" x14ac:dyDescent="0.2">
      <c r="C55" t="b">
        <f t="shared" si="0"/>
        <v>0</v>
      </c>
      <c r="E55">
        <f>IF(B55&gt;0,INDEX('PGA Shot Table'!$B$2:$G$137,MATCH(Template!B55,'PGA Shot Table'!$A$2:$A$137,0),MATCH(Template!D55,'PGA Shot Table'!$B$1:$G$1,0)),0)</f>
        <v>0</v>
      </c>
    </row>
    <row r="56" spans="1:5" x14ac:dyDescent="0.2">
      <c r="C56" t="b">
        <f t="shared" si="0"/>
        <v>0</v>
      </c>
      <c r="E56">
        <f>IF(B56&gt;0,INDEX('PGA Shot Table'!$B$2:$G$137,MATCH(Template!B56,'PGA Shot Table'!$A$2:$A$137,0),MATCH(Template!D56,'PGA Shot Table'!$B$1:$G$1,0)),0)</f>
        <v>0</v>
      </c>
    </row>
    <row r="57" spans="1:5" x14ac:dyDescent="0.2">
      <c r="C57" t="b">
        <f t="shared" si="0"/>
        <v>0</v>
      </c>
      <c r="E57">
        <f>IF(B57&gt;0,INDEX('PGA Shot Table'!$B$2:$G$137,MATCH(Template!B57,'PGA Shot Table'!$A$2:$A$137,0),MATCH(Template!D57,'PGA Shot Table'!$B$1:$G$1,0)),0)</f>
        <v>0</v>
      </c>
    </row>
    <row r="58" spans="1:5" x14ac:dyDescent="0.2">
      <c r="A58" t="s">
        <v>14</v>
      </c>
      <c r="B58">
        <v>180</v>
      </c>
      <c r="C58" t="str">
        <f t="shared" si="0"/>
        <v>110-180</v>
      </c>
      <c r="D58" t="s">
        <v>1</v>
      </c>
      <c r="E58">
        <f>IF(B58&gt;0,INDEX('PGA Shot Table'!$B$2:$G$137,MATCH(Template!B58,'PGA Shot Table'!$A$2:$A$137,0),MATCH(Template!D58,'PGA Shot Table'!$B$1:$G$1,0)),0)</f>
        <v>3.05</v>
      </c>
    </row>
    <row r="59" spans="1:5" x14ac:dyDescent="0.2">
      <c r="C59" t="b">
        <f t="shared" si="0"/>
        <v>0</v>
      </c>
      <c r="E59">
        <f>IF(B59&gt;0,INDEX('PGA Shot Table'!$B$2:$G$137,MATCH(Template!B59,'PGA Shot Table'!$A$2:$A$137,0),MATCH(Template!D59,'PGA Shot Table'!$B$1:$G$1,0)),0)</f>
        <v>0</v>
      </c>
    </row>
    <row r="60" spans="1:5" x14ac:dyDescent="0.2">
      <c r="C60" t="b">
        <f t="shared" si="0"/>
        <v>0</v>
      </c>
      <c r="E60">
        <f>IF(B60&gt;0,INDEX('PGA Shot Table'!$B$2:$G$137,MATCH(Template!B60,'PGA Shot Table'!$A$2:$A$137,0),MATCH(Template!D60,'PGA Shot Table'!$B$1:$G$1,0)),0)</f>
        <v>0</v>
      </c>
    </row>
    <row r="61" spans="1:5" x14ac:dyDescent="0.2">
      <c r="C61" t="b">
        <f t="shared" si="0"/>
        <v>0</v>
      </c>
      <c r="E61">
        <f>IF(B61&gt;0,INDEX('PGA Shot Table'!$B$2:$G$137,MATCH(Template!B61,'PGA Shot Table'!$A$2:$A$137,0),MATCH(Template!D61,'PGA Shot Table'!$B$1:$G$1,0)),0)</f>
        <v>0</v>
      </c>
    </row>
    <row r="62" spans="1:5" x14ac:dyDescent="0.2">
      <c r="C62" t="b">
        <f t="shared" si="0"/>
        <v>0</v>
      </c>
      <c r="E62">
        <f>IF(B62&gt;0,INDEX('PGA Shot Table'!$B$2:$G$137,MATCH(Template!B62,'PGA Shot Table'!$A$2:$A$137,0),MATCH(Template!D62,'PGA Shot Table'!$B$1:$G$1,0)),0)</f>
        <v>0</v>
      </c>
    </row>
    <row r="63" spans="1:5" x14ac:dyDescent="0.2">
      <c r="C63" t="b">
        <f t="shared" si="0"/>
        <v>0</v>
      </c>
      <c r="E63">
        <f>IF(B63&gt;0,INDEX('PGA Shot Table'!$B$2:$G$137,MATCH(Template!B63,'PGA Shot Table'!$A$2:$A$137,0),MATCH(Template!D63,'PGA Shot Table'!$B$1:$G$1,0)),0)</f>
        <v>0</v>
      </c>
    </row>
    <row r="64" spans="1:5" x14ac:dyDescent="0.2">
      <c r="C64" t="b">
        <f t="shared" si="0"/>
        <v>0</v>
      </c>
      <c r="E64">
        <f>IF(B64&gt;0,INDEX('PGA Shot Table'!$B$2:$G$137,MATCH(Template!B64,'PGA Shot Table'!$A$2:$A$137,0),MATCH(Template!D64,'PGA Shot Table'!$B$1:$G$1,0)),0)</f>
        <v>0</v>
      </c>
    </row>
    <row r="65" spans="1:5" x14ac:dyDescent="0.2">
      <c r="C65" t="b">
        <f t="shared" si="0"/>
        <v>0</v>
      </c>
      <c r="E65">
        <f>IF(B65&gt;0,INDEX('PGA Shot Table'!$B$2:$G$137,MATCH(Template!B65,'PGA Shot Table'!$A$2:$A$137,0),MATCH(Template!D65,'PGA Shot Table'!$B$1:$G$1,0)),0)</f>
        <v>0</v>
      </c>
    </row>
    <row r="66" spans="1:5" x14ac:dyDescent="0.2">
      <c r="A66" t="s">
        <v>15</v>
      </c>
      <c r="B66">
        <v>380</v>
      </c>
      <c r="C66" t="str">
        <f t="shared" si="0"/>
        <v>&gt;230</v>
      </c>
      <c r="D66" t="s">
        <v>1</v>
      </c>
      <c r="E66">
        <f>IF(B66&gt;0,INDEX('PGA Shot Table'!$B$2:$G$137,MATCH(Template!B66,'PGA Shot Table'!$A$2:$A$137,0),MATCH(Template!D66,'PGA Shot Table'!$B$1:$G$1,0)),0)</f>
        <v>3.96</v>
      </c>
    </row>
    <row r="67" spans="1:5" x14ac:dyDescent="0.2">
      <c r="C67" t="b">
        <f t="shared" ref="C67:C130" si="1">IF(B67&gt;230,"&gt;230",IF(B67&gt;180,"180-230",IF(B67&gt;110,"110-180",IF(B67&gt;50,"50-110",IF(B67&gt;25,"25-50",IF(B67&gt;0,"0-25"))))))</f>
        <v>0</v>
      </c>
      <c r="E67">
        <f>IF(B67&gt;0,INDEX('PGA Shot Table'!$B$2:$G$137,MATCH(Template!B67,'PGA Shot Table'!$A$2:$A$137,0),MATCH(Template!D67,'PGA Shot Table'!$B$1:$G$1,0)),0)</f>
        <v>0</v>
      </c>
    </row>
    <row r="68" spans="1:5" x14ac:dyDescent="0.2">
      <c r="C68" t="b">
        <f t="shared" si="1"/>
        <v>0</v>
      </c>
      <c r="E68">
        <f>IF(B68&gt;0,INDEX('PGA Shot Table'!$B$2:$G$137,MATCH(Template!B68,'PGA Shot Table'!$A$2:$A$137,0),MATCH(Template!D68,'PGA Shot Table'!$B$1:$G$1,0)),0)</f>
        <v>0</v>
      </c>
    </row>
    <row r="69" spans="1:5" x14ac:dyDescent="0.2">
      <c r="C69" t="b">
        <f t="shared" si="1"/>
        <v>0</v>
      </c>
      <c r="E69">
        <f>IF(B69&gt;0,INDEX('PGA Shot Table'!$B$2:$G$137,MATCH(Template!B69,'PGA Shot Table'!$A$2:$A$137,0),MATCH(Template!D69,'PGA Shot Table'!$B$1:$G$1,0)),0)</f>
        <v>0</v>
      </c>
    </row>
    <row r="70" spans="1:5" x14ac:dyDescent="0.2">
      <c r="C70" t="b">
        <f t="shared" si="1"/>
        <v>0</v>
      </c>
      <c r="E70">
        <f>IF(B70&gt;0,INDEX('PGA Shot Table'!$B$2:$G$137,MATCH(Template!B70,'PGA Shot Table'!$A$2:$A$137,0),MATCH(Template!D70,'PGA Shot Table'!$B$1:$G$1,0)),0)</f>
        <v>0</v>
      </c>
    </row>
    <row r="71" spans="1:5" x14ac:dyDescent="0.2">
      <c r="C71" t="b">
        <f t="shared" si="1"/>
        <v>0</v>
      </c>
      <c r="E71">
        <f>IF(B71&gt;0,INDEX('PGA Shot Table'!$B$2:$G$137,MATCH(Template!B71,'PGA Shot Table'!$A$2:$A$137,0),MATCH(Template!D71,'PGA Shot Table'!$B$1:$G$1,0)),0)</f>
        <v>0</v>
      </c>
    </row>
    <row r="72" spans="1:5" x14ac:dyDescent="0.2">
      <c r="C72" t="b">
        <f t="shared" si="1"/>
        <v>0</v>
      </c>
      <c r="E72">
        <f>IF(B72&gt;0,INDEX('PGA Shot Table'!$B$2:$G$137,MATCH(Template!B72,'PGA Shot Table'!$A$2:$A$137,0),MATCH(Template!D72,'PGA Shot Table'!$B$1:$G$1,0)),0)</f>
        <v>0</v>
      </c>
    </row>
    <row r="73" spans="1:5" x14ac:dyDescent="0.2">
      <c r="C73" t="b">
        <f t="shared" si="1"/>
        <v>0</v>
      </c>
      <c r="E73">
        <f>IF(B73&gt;0,INDEX('PGA Shot Table'!$B$2:$G$137,MATCH(Template!B73,'PGA Shot Table'!$A$2:$A$137,0),MATCH(Template!D73,'PGA Shot Table'!$B$1:$G$1,0)),0)</f>
        <v>0</v>
      </c>
    </row>
    <row r="74" spans="1:5" x14ac:dyDescent="0.2">
      <c r="A74" t="s">
        <v>16</v>
      </c>
      <c r="B74">
        <v>430</v>
      </c>
      <c r="C74" t="str">
        <f t="shared" si="1"/>
        <v>&gt;230</v>
      </c>
      <c r="D74" t="s">
        <v>1</v>
      </c>
      <c r="E74">
        <f>IF(B74&gt;0,INDEX('PGA Shot Table'!$B$2:$G$137,MATCH(Template!B74,'PGA Shot Table'!$A$2:$A$137,0),MATCH(Template!D74,'PGA Shot Table'!$B$1:$G$1,0)),0)</f>
        <v>4.05</v>
      </c>
    </row>
    <row r="75" spans="1:5" x14ac:dyDescent="0.2">
      <c r="C75" t="b">
        <f t="shared" si="1"/>
        <v>0</v>
      </c>
      <c r="E75">
        <f>IF(B75&gt;0,INDEX('PGA Shot Table'!$B$2:$G$137,MATCH(Template!B75,'PGA Shot Table'!$A$2:$A$137,0),MATCH(Template!D75,'PGA Shot Table'!$B$1:$G$1,0)),0)</f>
        <v>0</v>
      </c>
    </row>
    <row r="76" spans="1:5" x14ac:dyDescent="0.2">
      <c r="C76" t="b">
        <f t="shared" si="1"/>
        <v>0</v>
      </c>
      <c r="E76">
        <f>IF(B76&gt;0,INDEX('PGA Shot Table'!$B$2:$G$137,MATCH(Template!B76,'PGA Shot Table'!$A$2:$A$137,0),MATCH(Template!D76,'PGA Shot Table'!$B$1:$G$1,0)),0)</f>
        <v>0</v>
      </c>
    </row>
    <row r="77" spans="1:5" x14ac:dyDescent="0.2">
      <c r="C77" t="b">
        <f t="shared" si="1"/>
        <v>0</v>
      </c>
      <c r="E77">
        <f>IF(B77&gt;0,INDEX('PGA Shot Table'!$B$2:$G$137,MATCH(Template!B77,'PGA Shot Table'!$A$2:$A$137,0),MATCH(Template!D77,'PGA Shot Table'!$B$1:$G$1,0)),0)</f>
        <v>0</v>
      </c>
    </row>
    <row r="78" spans="1:5" x14ac:dyDescent="0.2">
      <c r="C78" t="b">
        <f t="shared" si="1"/>
        <v>0</v>
      </c>
      <c r="E78">
        <f>IF(B78&gt;0,INDEX('PGA Shot Table'!$B$2:$G$137,MATCH(Template!B78,'PGA Shot Table'!$A$2:$A$137,0),MATCH(Template!D78,'PGA Shot Table'!$B$1:$G$1,0)),0)</f>
        <v>0</v>
      </c>
    </row>
    <row r="79" spans="1:5" x14ac:dyDescent="0.2">
      <c r="C79" t="b">
        <f t="shared" si="1"/>
        <v>0</v>
      </c>
      <c r="E79">
        <f>IF(B79&gt;0,INDEX('PGA Shot Table'!$B$2:$G$137,MATCH(Template!B79,'PGA Shot Table'!$A$2:$A$137,0),MATCH(Template!D79,'PGA Shot Table'!$B$1:$G$1,0)),0)</f>
        <v>0</v>
      </c>
    </row>
    <row r="80" spans="1:5" x14ac:dyDescent="0.2">
      <c r="C80" t="b">
        <f t="shared" si="1"/>
        <v>0</v>
      </c>
      <c r="E80">
        <f>IF(B80&gt;0,INDEX('PGA Shot Table'!$B$2:$G$137,MATCH(Template!B80,'PGA Shot Table'!$A$2:$A$137,0),MATCH(Template!D80,'PGA Shot Table'!$B$1:$G$1,0)),0)</f>
        <v>0</v>
      </c>
    </row>
    <row r="81" spans="1:5" x14ac:dyDescent="0.2">
      <c r="C81" t="b">
        <f t="shared" si="1"/>
        <v>0</v>
      </c>
      <c r="E81">
        <f>IF(B81&gt;0,INDEX('PGA Shot Table'!$B$2:$G$137,MATCH(Template!B81,'PGA Shot Table'!$A$2:$A$137,0),MATCH(Template!D81,'PGA Shot Table'!$B$1:$G$1,0)),0)</f>
        <v>0</v>
      </c>
    </row>
    <row r="82" spans="1:5" x14ac:dyDescent="0.2">
      <c r="A82" t="s">
        <v>17</v>
      </c>
      <c r="B82">
        <v>220</v>
      </c>
      <c r="C82" t="str">
        <f t="shared" si="1"/>
        <v>180-230</v>
      </c>
      <c r="D82" t="s">
        <v>2</v>
      </c>
      <c r="E82">
        <f>IF(B82&gt;0,INDEX('PGA Shot Table'!$B$2:$G$137,MATCH(Template!B82,'PGA Shot Table'!$A$2:$A$137,0),MATCH(Template!D82,'PGA Shot Table'!$B$1:$G$1,0)),0)</f>
        <v>3.32</v>
      </c>
    </row>
    <row r="83" spans="1:5" x14ac:dyDescent="0.2">
      <c r="C83" t="b">
        <f t="shared" si="1"/>
        <v>0</v>
      </c>
      <c r="E83">
        <f>IF(B83&gt;0,INDEX('PGA Shot Table'!$B$2:$G$137,MATCH(Template!B83,'PGA Shot Table'!$A$2:$A$137,0),MATCH(Template!D83,'PGA Shot Table'!$B$1:$G$1,0)),0)</f>
        <v>0</v>
      </c>
    </row>
    <row r="84" spans="1:5" x14ac:dyDescent="0.2">
      <c r="C84" t="b">
        <f t="shared" si="1"/>
        <v>0</v>
      </c>
      <c r="E84">
        <f>IF(B84&gt;0,INDEX('PGA Shot Table'!$B$2:$G$137,MATCH(Template!B84,'PGA Shot Table'!$A$2:$A$137,0),MATCH(Template!D84,'PGA Shot Table'!$B$1:$G$1,0)),0)</f>
        <v>0</v>
      </c>
    </row>
    <row r="85" spans="1:5" x14ac:dyDescent="0.2">
      <c r="C85" t="b">
        <f t="shared" si="1"/>
        <v>0</v>
      </c>
      <c r="E85">
        <f>IF(B85&gt;0,INDEX('PGA Shot Table'!$B$2:$G$137,MATCH(Template!B85,'PGA Shot Table'!$A$2:$A$137,0),MATCH(Template!D85,'PGA Shot Table'!$B$1:$G$1,0)),0)</f>
        <v>0</v>
      </c>
    </row>
    <row r="86" spans="1:5" x14ac:dyDescent="0.2">
      <c r="C86" t="b">
        <f t="shared" si="1"/>
        <v>0</v>
      </c>
      <c r="E86">
        <f>IF(B86&gt;0,INDEX('PGA Shot Table'!$B$2:$G$137,MATCH(Template!B86,'PGA Shot Table'!$A$2:$A$137,0),MATCH(Template!D86,'PGA Shot Table'!$B$1:$G$1,0)),0)</f>
        <v>0</v>
      </c>
    </row>
    <row r="87" spans="1:5" x14ac:dyDescent="0.2">
      <c r="C87" t="b">
        <f t="shared" si="1"/>
        <v>0</v>
      </c>
      <c r="E87">
        <f>IF(B87&gt;0,INDEX('PGA Shot Table'!$B$2:$G$137,MATCH(Template!B87,'PGA Shot Table'!$A$2:$A$137,0),MATCH(Template!D87,'PGA Shot Table'!$B$1:$G$1,0)),0)</f>
        <v>0</v>
      </c>
    </row>
    <row r="88" spans="1:5" x14ac:dyDescent="0.2">
      <c r="C88" t="b">
        <f t="shared" si="1"/>
        <v>0</v>
      </c>
      <c r="E88">
        <f>IF(B88&gt;0,INDEX('PGA Shot Table'!$B$2:$G$137,MATCH(Template!B88,'PGA Shot Table'!$A$2:$A$137,0),MATCH(Template!D88,'PGA Shot Table'!$B$1:$G$1,0)),0)</f>
        <v>0</v>
      </c>
    </row>
    <row r="89" spans="1:5" x14ac:dyDescent="0.2">
      <c r="C89" t="b">
        <f t="shared" si="1"/>
        <v>0</v>
      </c>
      <c r="E89">
        <f>IF(B89&gt;0,INDEX('PGA Shot Table'!$B$2:$G$137,MATCH(Template!B89,'PGA Shot Table'!$A$2:$A$137,0),MATCH(Template!D89,'PGA Shot Table'!$B$1:$G$1,0)),0)</f>
        <v>0</v>
      </c>
    </row>
    <row r="90" spans="1:5" x14ac:dyDescent="0.2">
      <c r="A90" t="s">
        <v>18</v>
      </c>
      <c r="B90">
        <v>400</v>
      </c>
      <c r="C90" t="str">
        <f t="shared" si="1"/>
        <v>&gt;230</v>
      </c>
      <c r="D90" t="s">
        <v>1</v>
      </c>
      <c r="E90">
        <f>IF(B90&gt;0,INDEX('PGA Shot Table'!$B$2:$G$137,MATCH(Template!B90,'PGA Shot Table'!$A$2:$A$137,0),MATCH(Template!D90,'PGA Shot Table'!$B$1:$G$1,0)),0)</f>
        <v>3.99</v>
      </c>
    </row>
    <row r="91" spans="1:5" x14ac:dyDescent="0.2">
      <c r="C91" t="b">
        <f t="shared" si="1"/>
        <v>0</v>
      </c>
      <c r="E91">
        <f>IF(B91&gt;0,INDEX('PGA Shot Table'!$B$2:$G$137,MATCH(Template!B91,'PGA Shot Table'!$A$2:$A$137,0),MATCH(Template!D91,'PGA Shot Table'!$B$1:$G$1,0)),0)</f>
        <v>0</v>
      </c>
    </row>
    <row r="92" spans="1:5" x14ac:dyDescent="0.2">
      <c r="C92" t="b">
        <f t="shared" si="1"/>
        <v>0</v>
      </c>
      <c r="E92">
        <f>IF(B92&gt;0,INDEX('PGA Shot Table'!$B$2:$G$137,MATCH(Template!B92,'PGA Shot Table'!$A$2:$A$137,0),MATCH(Template!D92,'PGA Shot Table'!$B$1:$G$1,0)),0)</f>
        <v>0</v>
      </c>
    </row>
    <row r="93" spans="1:5" x14ac:dyDescent="0.2">
      <c r="C93" t="b">
        <f t="shared" si="1"/>
        <v>0</v>
      </c>
      <c r="E93">
        <f>IF(B93&gt;0,INDEX('PGA Shot Table'!$B$2:$G$137,MATCH(Template!B93,'PGA Shot Table'!$A$2:$A$137,0),MATCH(Template!D93,'PGA Shot Table'!$B$1:$G$1,0)),0)</f>
        <v>0</v>
      </c>
    </row>
    <row r="94" spans="1:5" x14ac:dyDescent="0.2">
      <c r="C94" t="b">
        <f t="shared" si="1"/>
        <v>0</v>
      </c>
      <c r="E94">
        <f>IF(B94&gt;0,INDEX('PGA Shot Table'!$B$2:$G$137,MATCH(Template!B94,'PGA Shot Table'!$A$2:$A$137,0),MATCH(Template!D94,'PGA Shot Table'!$B$1:$G$1,0)),0)</f>
        <v>0</v>
      </c>
    </row>
    <row r="95" spans="1:5" x14ac:dyDescent="0.2">
      <c r="C95" t="b">
        <f t="shared" si="1"/>
        <v>0</v>
      </c>
      <c r="E95">
        <f>IF(B95&gt;0,INDEX('PGA Shot Table'!$B$2:$G$137,MATCH(Template!B95,'PGA Shot Table'!$A$2:$A$137,0),MATCH(Template!D95,'PGA Shot Table'!$B$1:$G$1,0)),0)</f>
        <v>0</v>
      </c>
    </row>
    <row r="96" spans="1:5" x14ac:dyDescent="0.2">
      <c r="C96" t="b">
        <f t="shared" si="1"/>
        <v>0</v>
      </c>
      <c r="E96">
        <f>IF(B96&gt;0,INDEX('PGA Shot Table'!$B$2:$G$137,MATCH(Template!B96,'PGA Shot Table'!$A$2:$A$137,0),MATCH(Template!D96,'PGA Shot Table'!$B$1:$G$1,0)),0)</f>
        <v>0</v>
      </c>
    </row>
    <row r="97" spans="1:5" x14ac:dyDescent="0.2">
      <c r="C97" t="b">
        <f t="shared" si="1"/>
        <v>0</v>
      </c>
      <c r="E97">
        <f>IF(B97&gt;0,INDEX('PGA Shot Table'!$B$2:$G$137,MATCH(Template!B97,'PGA Shot Table'!$A$2:$A$137,0),MATCH(Template!D97,'PGA Shot Table'!$B$1:$G$1,0)),0)</f>
        <v>0</v>
      </c>
    </row>
    <row r="98" spans="1:5" x14ac:dyDescent="0.2">
      <c r="A98" t="s">
        <v>19</v>
      </c>
      <c r="B98">
        <v>400</v>
      </c>
      <c r="C98" t="str">
        <f t="shared" si="1"/>
        <v>&gt;230</v>
      </c>
      <c r="D98" t="s">
        <v>1</v>
      </c>
      <c r="E98">
        <f>IF(B98&gt;0,INDEX('PGA Shot Table'!$B$2:$G$137,MATCH(Template!B98,'PGA Shot Table'!$A$2:$A$137,0),MATCH(Template!D98,'PGA Shot Table'!$B$1:$G$1,0)),0)</f>
        <v>3.99</v>
      </c>
    </row>
    <row r="99" spans="1:5" x14ac:dyDescent="0.2">
      <c r="C99" t="b">
        <f t="shared" si="1"/>
        <v>0</v>
      </c>
      <c r="E99">
        <f>IF(B99&gt;0,INDEX('PGA Shot Table'!$B$2:$G$137,MATCH(Template!B99,'PGA Shot Table'!$A$2:$A$137,0),MATCH(Template!D99,'PGA Shot Table'!$B$1:$G$1,0)),0)</f>
        <v>0</v>
      </c>
    </row>
    <row r="100" spans="1:5" x14ac:dyDescent="0.2">
      <c r="C100" t="b">
        <f t="shared" si="1"/>
        <v>0</v>
      </c>
      <c r="E100">
        <f>IF(B100&gt;0,INDEX('PGA Shot Table'!$B$2:$G$137,MATCH(Template!B100,'PGA Shot Table'!$A$2:$A$137,0),MATCH(Template!D100,'PGA Shot Table'!$B$1:$G$1,0)),0)</f>
        <v>0</v>
      </c>
    </row>
    <row r="101" spans="1:5" x14ac:dyDescent="0.2">
      <c r="C101" t="b">
        <f t="shared" si="1"/>
        <v>0</v>
      </c>
      <c r="E101">
        <f>IF(B101&gt;0,INDEX('PGA Shot Table'!$B$2:$G$137,MATCH(Template!B101,'PGA Shot Table'!$A$2:$A$137,0),MATCH(Template!D101,'PGA Shot Table'!$B$1:$G$1,0)),0)</f>
        <v>0</v>
      </c>
    </row>
    <row r="102" spans="1:5" x14ac:dyDescent="0.2">
      <c r="C102" t="b">
        <f t="shared" si="1"/>
        <v>0</v>
      </c>
      <c r="E102">
        <f>IF(B102&gt;0,INDEX('PGA Shot Table'!$B$2:$G$137,MATCH(Template!B102,'PGA Shot Table'!$A$2:$A$137,0),MATCH(Template!D102,'PGA Shot Table'!$B$1:$G$1,0)),0)</f>
        <v>0</v>
      </c>
    </row>
    <row r="103" spans="1:5" x14ac:dyDescent="0.2">
      <c r="C103" t="b">
        <f t="shared" si="1"/>
        <v>0</v>
      </c>
      <c r="E103">
        <f>IF(B103&gt;0,INDEX('PGA Shot Table'!$B$2:$G$137,MATCH(Template!B103,'PGA Shot Table'!$A$2:$A$137,0),MATCH(Template!D103,'PGA Shot Table'!$B$1:$G$1,0)),0)</f>
        <v>0</v>
      </c>
    </row>
    <row r="104" spans="1:5" x14ac:dyDescent="0.2">
      <c r="C104" t="b">
        <f t="shared" si="1"/>
        <v>0</v>
      </c>
      <c r="E104">
        <f>IF(B104&gt;0,INDEX('PGA Shot Table'!$B$2:$G$137,MATCH(Template!B104,'PGA Shot Table'!$A$2:$A$137,0),MATCH(Template!D104,'PGA Shot Table'!$B$1:$G$1,0)),0)</f>
        <v>0</v>
      </c>
    </row>
    <row r="105" spans="1:5" x14ac:dyDescent="0.2">
      <c r="C105" t="b">
        <f t="shared" si="1"/>
        <v>0</v>
      </c>
      <c r="E105">
        <f>IF(B105&gt;0,INDEX('PGA Shot Table'!$B$2:$G$137,MATCH(Template!B105,'PGA Shot Table'!$A$2:$A$137,0),MATCH(Template!D105,'PGA Shot Table'!$B$1:$G$1,0)),0)</f>
        <v>0</v>
      </c>
    </row>
    <row r="106" spans="1:5" x14ac:dyDescent="0.2">
      <c r="A106" t="s">
        <v>20</v>
      </c>
      <c r="B106">
        <v>530</v>
      </c>
      <c r="C106" t="str">
        <f t="shared" si="1"/>
        <v>&gt;230</v>
      </c>
      <c r="D106" t="s">
        <v>1</v>
      </c>
      <c r="E106">
        <f>IF(B106&gt;0,INDEX('PGA Shot Table'!$B$2:$G$137,MATCH(Template!B106,'PGA Shot Table'!$A$2:$A$137,0),MATCH(Template!D106,'PGA Shot Table'!$B$1:$G$1,0)),0)</f>
        <v>4.5999999999999996</v>
      </c>
    </row>
    <row r="107" spans="1:5" x14ac:dyDescent="0.2">
      <c r="C107" t="b">
        <f t="shared" si="1"/>
        <v>0</v>
      </c>
      <c r="E107">
        <f>IF(B107&gt;0,INDEX('PGA Shot Table'!$B$2:$G$137,MATCH(Template!B107,'PGA Shot Table'!$A$2:$A$137,0),MATCH(Template!D107,'PGA Shot Table'!$B$1:$G$1,0)),0)</f>
        <v>0</v>
      </c>
    </row>
    <row r="108" spans="1:5" x14ac:dyDescent="0.2">
      <c r="C108" t="b">
        <f t="shared" si="1"/>
        <v>0</v>
      </c>
      <c r="E108">
        <f>IF(B108&gt;0,INDEX('PGA Shot Table'!$B$2:$G$137,MATCH(Template!B108,'PGA Shot Table'!$A$2:$A$137,0),MATCH(Template!D108,'PGA Shot Table'!$B$1:$G$1,0)),0)</f>
        <v>0</v>
      </c>
    </row>
    <row r="109" spans="1:5" x14ac:dyDescent="0.2">
      <c r="C109" t="b">
        <f t="shared" si="1"/>
        <v>0</v>
      </c>
      <c r="E109">
        <f>IF(B109&gt;0,INDEX('PGA Shot Table'!$B$2:$G$137,MATCH(Template!B109,'PGA Shot Table'!$A$2:$A$137,0),MATCH(Template!D109,'PGA Shot Table'!$B$1:$G$1,0)),0)</f>
        <v>0</v>
      </c>
    </row>
    <row r="110" spans="1:5" x14ac:dyDescent="0.2">
      <c r="C110" t="b">
        <f t="shared" si="1"/>
        <v>0</v>
      </c>
      <c r="E110">
        <f>IF(B110&gt;0,INDEX('PGA Shot Table'!$B$2:$G$137,MATCH(Template!B110,'PGA Shot Table'!$A$2:$A$137,0),MATCH(Template!D110,'PGA Shot Table'!$B$1:$G$1,0)),0)</f>
        <v>0</v>
      </c>
    </row>
    <row r="111" spans="1:5" x14ac:dyDescent="0.2">
      <c r="C111" t="b">
        <f t="shared" si="1"/>
        <v>0</v>
      </c>
      <c r="E111">
        <f>IF(B111&gt;0,INDEX('PGA Shot Table'!$B$2:$G$137,MATCH(Template!B111,'PGA Shot Table'!$A$2:$A$137,0),MATCH(Template!D111,'PGA Shot Table'!$B$1:$G$1,0)),0)</f>
        <v>0</v>
      </c>
    </row>
    <row r="112" spans="1:5" x14ac:dyDescent="0.2">
      <c r="C112" t="b">
        <f t="shared" si="1"/>
        <v>0</v>
      </c>
      <c r="E112">
        <f>IF(B112&gt;0,INDEX('PGA Shot Table'!$B$2:$G$137,MATCH(Template!B112,'PGA Shot Table'!$A$2:$A$137,0),MATCH(Template!D112,'PGA Shot Table'!$B$1:$G$1,0)),0)</f>
        <v>0</v>
      </c>
    </row>
    <row r="113" spans="1:5" x14ac:dyDescent="0.2">
      <c r="C113" t="b">
        <f t="shared" si="1"/>
        <v>0</v>
      </c>
      <c r="E113">
        <f>IF(B113&gt;0,INDEX('PGA Shot Table'!$B$2:$G$137,MATCH(Template!B113,'PGA Shot Table'!$A$2:$A$137,0),MATCH(Template!D113,'PGA Shot Table'!$B$1:$G$1,0)),0)</f>
        <v>0</v>
      </c>
    </row>
    <row r="114" spans="1:5" x14ac:dyDescent="0.2">
      <c r="A114" t="s">
        <v>21</v>
      </c>
      <c r="B114">
        <v>170</v>
      </c>
      <c r="C114" t="str">
        <f t="shared" si="1"/>
        <v>110-180</v>
      </c>
      <c r="D114" t="s">
        <v>2</v>
      </c>
      <c r="E114">
        <f>IF(B114&gt;0,INDEX('PGA Shot Table'!$B$2:$G$137,MATCH(Template!B114,'PGA Shot Table'!$A$2:$A$137,0),MATCH(Template!D114,'PGA Shot Table'!$B$1:$G$1,0)),0)</f>
        <v>3.03</v>
      </c>
    </row>
    <row r="115" spans="1:5" x14ac:dyDescent="0.2">
      <c r="C115" t="b">
        <f t="shared" si="1"/>
        <v>0</v>
      </c>
      <c r="E115">
        <f>IF(B115&gt;0,INDEX('PGA Shot Table'!$B$2:$G$137,MATCH(Template!B115,'PGA Shot Table'!$A$2:$A$137,0),MATCH(Template!D115,'PGA Shot Table'!$B$1:$G$1,0)),0)</f>
        <v>0</v>
      </c>
    </row>
    <row r="116" spans="1:5" x14ac:dyDescent="0.2">
      <c r="C116" t="b">
        <f t="shared" si="1"/>
        <v>0</v>
      </c>
      <c r="E116">
        <f>IF(B116&gt;0,INDEX('PGA Shot Table'!$B$2:$G$137,MATCH(Template!B116,'PGA Shot Table'!$A$2:$A$137,0),MATCH(Template!D116,'PGA Shot Table'!$B$1:$G$1,0)),0)</f>
        <v>0</v>
      </c>
    </row>
    <row r="117" spans="1:5" x14ac:dyDescent="0.2">
      <c r="C117" t="b">
        <f t="shared" si="1"/>
        <v>0</v>
      </c>
      <c r="E117">
        <f>IF(B117&gt;0,INDEX('PGA Shot Table'!$B$2:$G$137,MATCH(Template!B117,'PGA Shot Table'!$A$2:$A$137,0),MATCH(Template!D117,'PGA Shot Table'!$B$1:$G$1,0)),0)</f>
        <v>0</v>
      </c>
    </row>
    <row r="118" spans="1:5" x14ac:dyDescent="0.2">
      <c r="C118" t="b">
        <f t="shared" si="1"/>
        <v>0</v>
      </c>
      <c r="E118">
        <f>IF(B118&gt;0,INDEX('PGA Shot Table'!$B$2:$G$137,MATCH(Template!B118,'PGA Shot Table'!$A$2:$A$137,0),MATCH(Template!D118,'PGA Shot Table'!$B$1:$G$1,0)),0)</f>
        <v>0</v>
      </c>
    </row>
    <row r="119" spans="1:5" x14ac:dyDescent="0.2">
      <c r="C119" t="b">
        <f t="shared" si="1"/>
        <v>0</v>
      </c>
      <c r="E119">
        <f>IF(B119&gt;0,INDEX('PGA Shot Table'!$B$2:$G$137,MATCH(Template!B119,'PGA Shot Table'!$A$2:$A$137,0),MATCH(Template!D119,'PGA Shot Table'!$B$1:$G$1,0)),0)</f>
        <v>0</v>
      </c>
    </row>
    <row r="120" spans="1:5" x14ac:dyDescent="0.2">
      <c r="C120" t="b">
        <f t="shared" si="1"/>
        <v>0</v>
      </c>
      <c r="E120">
        <f>IF(B120&gt;0,INDEX('PGA Shot Table'!$B$2:$G$137,MATCH(Template!B120,'PGA Shot Table'!$A$2:$A$137,0),MATCH(Template!D120,'PGA Shot Table'!$B$1:$G$1,0)),0)</f>
        <v>0</v>
      </c>
    </row>
    <row r="121" spans="1:5" x14ac:dyDescent="0.2">
      <c r="C121" t="b">
        <f t="shared" si="1"/>
        <v>0</v>
      </c>
      <c r="E121">
        <f>IF(B121&gt;0,INDEX('PGA Shot Table'!$B$2:$G$137,MATCH(Template!B121,'PGA Shot Table'!$A$2:$A$137,0),MATCH(Template!D121,'PGA Shot Table'!$B$1:$G$1,0)),0)</f>
        <v>0</v>
      </c>
    </row>
    <row r="122" spans="1:5" x14ac:dyDescent="0.2">
      <c r="A122" t="s">
        <v>22</v>
      </c>
      <c r="B122">
        <v>365</v>
      </c>
      <c r="C122" t="str">
        <f t="shared" si="1"/>
        <v>&gt;230</v>
      </c>
      <c r="D122" t="s">
        <v>1</v>
      </c>
      <c r="E122">
        <f>IF(B122&gt;0,INDEX('PGA Shot Table'!$B$2:$G$137,MATCH(Template!B122,'PGA Shot Table'!$A$2:$A$137,0),MATCH(Template!D122,'PGA Shot Table'!$B$1:$G$1,0)),0)</f>
        <v>3.93</v>
      </c>
    </row>
    <row r="123" spans="1:5" x14ac:dyDescent="0.2">
      <c r="C123" t="b">
        <f t="shared" si="1"/>
        <v>0</v>
      </c>
      <c r="E123">
        <f>IF(B123&gt;0,INDEX('PGA Shot Table'!$B$2:$G$137,MATCH(Template!B123,'PGA Shot Table'!$A$2:$A$137,0),MATCH(Template!D123,'PGA Shot Table'!$B$1:$G$1,0)),0)</f>
        <v>0</v>
      </c>
    </row>
    <row r="124" spans="1:5" x14ac:dyDescent="0.2">
      <c r="C124" t="b">
        <f t="shared" si="1"/>
        <v>0</v>
      </c>
      <c r="E124">
        <f>IF(B124&gt;0,INDEX('PGA Shot Table'!$B$2:$G$137,MATCH(Template!B124,'PGA Shot Table'!$A$2:$A$137,0),MATCH(Template!D124,'PGA Shot Table'!$B$1:$G$1,0)),0)</f>
        <v>0</v>
      </c>
    </row>
    <row r="125" spans="1:5" x14ac:dyDescent="0.2">
      <c r="C125" t="b">
        <f t="shared" si="1"/>
        <v>0</v>
      </c>
      <c r="E125">
        <f>IF(B125&gt;0,INDEX('PGA Shot Table'!$B$2:$G$137,MATCH(Template!B125,'PGA Shot Table'!$A$2:$A$137,0),MATCH(Template!D125,'PGA Shot Table'!$B$1:$G$1,0)),0)</f>
        <v>0</v>
      </c>
    </row>
    <row r="126" spans="1:5" x14ac:dyDescent="0.2">
      <c r="C126" t="b">
        <f t="shared" si="1"/>
        <v>0</v>
      </c>
      <c r="E126">
        <f>IF(B126&gt;0,INDEX('PGA Shot Table'!$B$2:$G$137,MATCH(Template!B126,'PGA Shot Table'!$A$2:$A$137,0),MATCH(Template!D126,'PGA Shot Table'!$B$1:$G$1,0)),0)</f>
        <v>0</v>
      </c>
    </row>
    <row r="127" spans="1:5" x14ac:dyDescent="0.2">
      <c r="C127" t="b">
        <f t="shared" si="1"/>
        <v>0</v>
      </c>
      <c r="E127">
        <f>IF(B127&gt;0,INDEX('PGA Shot Table'!$B$2:$G$137,MATCH(Template!B127,'PGA Shot Table'!$A$2:$A$137,0),MATCH(Template!D127,'PGA Shot Table'!$B$1:$G$1,0)),0)</f>
        <v>0</v>
      </c>
    </row>
    <row r="128" spans="1:5" x14ac:dyDescent="0.2">
      <c r="C128" t="b">
        <f t="shared" si="1"/>
        <v>0</v>
      </c>
      <c r="E128">
        <f>IF(B128&gt;0,INDEX('PGA Shot Table'!$B$2:$G$137,MATCH(Template!B128,'PGA Shot Table'!$A$2:$A$137,0),MATCH(Template!D128,'PGA Shot Table'!$B$1:$G$1,0)),0)</f>
        <v>0</v>
      </c>
    </row>
    <row r="129" spans="1:5" x14ac:dyDescent="0.2">
      <c r="C129" t="b">
        <f t="shared" si="1"/>
        <v>0</v>
      </c>
      <c r="E129">
        <f>IF(B129&gt;0,INDEX('PGA Shot Table'!$B$2:$G$137,MATCH(Template!B129,'PGA Shot Table'!$A$2:$A$137,0),MATCH(Template!D129,'PGA Shot Table'!$B$1:$G$1,0)),0)</f>
        <v>0</v>
      </c>
    </row>
    <row r="130" spans="1:5" x14ac:dyDescent="0.2">
      <c r="A130" t="s">
        <v>23</v>
      </c>
      <c r="B130">
        <v>450</v>
      </c>
      <c r="C130" t="str">
        <f t="shared" si="1"/>
        <v>&gt;230</v>
      </c>
      <c r="D130" t="s">
        <v>1</v>
      </c>
      <c r="E130">
        <f>IF(B130&gt;0,INDEX('PGA Shot Table'!$B$2:$G$137,MATCH(Template!B130,'PGA Shot Table'!$A$2:$A$137,0),MATCH(Template!D130,'PGA Shot Table'!$B$1:$G$1,0)),0)</f>
        <v>4.13</v>
      </c>
    </row>
    <row r="131" spans="1:5" x14ac:dyDescent="0.2">
      <c r="C131" t="b">
        <f t="shared" ref="C131:C144" si="2">IF(B131&gt;230,"&gt;230",IF(B131&gt;180,"180-230",IF(B131&gt;110,"110-180",IF(B131&gt;50,"50-110",IF(B131&gt;25,"25-50",IF(B131&gt;0,"0-25"))))))</f>
        <v>0</v>
      </c>
      <c r="E131">
        <f>IF(B131&gt;0,INDEX('PGA Shot Table'!$B$2:$G$137,MATCH(Template!B131,'PGA Shot Table'!$A$2:$A$137,0),MATCH(Template!D131,'PGA Shot Table'!$B$1:$G$1,0)),0)</f>
        <v>0</v>
      </c>
    </row>
    <row r="132" spans="1:5" x14ac:dyDescent="0.2">
      <c r="C132" t="b">
        <f t="shared" si="2"/>
        <v>0</v>
      </c>
      <c r="E132">
        <f>IF(B132&gt;0,INDEX('PGA Shot Table'!$B$2:$G$137,MATCH(Template!B132,'PGA Shot Table'!$A$2:$A$137,0),MATCH(Template!D132,'PGA Shot Table'!$B$1:$G$1,0)),0)</f>
        <v>0</v>
      </c>
    </row>
    <row r="133" spans="1:5" x14ac:dyDescent="0.2">
      <c r="C133" t="b">
        <f t="shared" si="2"/>
        <v>0</v>
      </c>
      <c r="E133">
        <f>IF(B133&gt;0,INDEX('PGA Shot Table'!$B$2:$G$137,MATCH(Template!B133,'PGA Shot Table'!$A$2:$A$137,0),MATCH(Template!D133,'PGA Shot Table'!$B$1:$G$1,0)),0)</f>
        <v>0</v>
      </c>
    </row>
    <row r="134" spans="1:5" x14ac:dyDescent="0.2">
      <c r="C134" t="b">
        <f t="shared" si="2"/>
        <v>0</v>
      </c>
      <c r="E134">
        <f>IF(B134&gt;0,INDEX('PGA Shot Table'!$B$2:$G$137,MATCH(Template!B134,'PGA Shot Table'!$A$2:$A$137,0),MATCH(Template!D134,'PGA Shot Table'!$B$1:$G$1,0)),0)</f>
        <v>0</v>
      </c>
    </row>
    <row r="135" spans="1:5" x14ac:dyDescent="0.2">
      <c r="C135" t="b">
        <f t="shared" si="2"/>
        <v>0</v>
      </c>
      <c r="E135">
        <f>IF(B135&gt;0,INDEX('PGA Shot Table'!$B$2:$G$137,MATCH(Template!B135,'PGA Shot Table'!$A$2:$A$137,0),MATCH(Template!D135,'PGA Shot Table'!$B$1:$G$1,0)),0)</f>
        <v>0</v>
      </c>
    </row>
    <row r="136" spans="1:5" x14ac:dyDescent="0.2">
      <c r="C136" t="b">
        <f t="shared" si="2"/>
        <v>0</v>
      </c>
      <c r="E136">
        <f>IF(B136&gt;0,INDEX('PGA Shot Table'!$B$2:$G$137,MATCH(Template!B136,'PGA Shot Table'!$A$2:$A$137,0),MATCH(Template!D136,'PGA Shot Table'!$B$1:$G$1,0)),0)</f>
        <v>0</v>
      </c>
    </row>
    <row r="137" spans="1:5" x14ac:dyDescent="0.2">
      <c r="C137" t="b">
        <f t="shared" si="2"/>
        <v>0</v>
      </c>
      <c r="E137">
        <f>IF(B137&gt;0,INDEX('PGA Shot Table'!$B$2:$G$137,MATCH(Template!B137,'PGA Shot Table'!$A$2:$A$137,0),MATCH(Template!D137,'PGA Shot Table'!$B$1:$G$1,0)),0)</f>
        <v>0</v>
      </c>
    </row>
    <row r="138" spans="1:5" x14ac:dyDescent="0.2">
      <c r="A138" t="s">
        <v>24</v>
      </c>
      <c r="B138">
        <v>400</v>
      </c>
      <c r="C138" t="str">
        <f t="shared" si="2"/>
        <v>&gt;230</v>
      </c>
      <c r="D138" t="s">
        <v>1</v>
      </c>
      <c r="E138">
        <f>IF(B138&gt;0,INDEX('PGA Shot Table'!$B$2:$G$137,MATCH(Template!B138,'PGA Shot Table'!$A$2:$A$137,0),MATCH(Template!D138,'PGA Shot Table'!$B$1:$G$1,0)),0)</f>
        <v>3.99</v>
      </c>
    </row>
    <row r="139" spans="1:5" x14ac:dyDescent="0.2">
      <c r="C139" t="b">
        <f t="shared" si="2"/>
        <v>0</v>
      </c>
      <c r="E139">
        <f>IF(B139&gt;0,INDEX('PGA Shot Table'!$B$2:$G$137,MATCH(Template!B139,'PGA Shot Table'!$A$2:$A$137,0),MATCH(Template!D139,'PGA Shot Table'!$B$1:$G$1,0)),0)</f>
        <v>0</v>
      </c>
    </row>
    <row r="140" spans="1:5" x14ac:dyDescent="0.2">
      <c r="C140" t="b">
        <f t="shared" si="2"/>
        <v>0</v>
      </c>
      <c r="E140">
        <f>IF(B140&gt;0,INDEX('PGA Shot Table'!$B$2:$G$137,MATCH(Template!B140,'PGA Shot Table'!$A$2:$A$137,0),MATCH(Template!D140,'PGA Shot Table'!$B$1:$G$1,0)),0)</f>
        <v>0</v>
      </c>
    </row>
    <row r="141" spans="1:5" x14ac:dyDescent="0.2">
      <c r="C141" t="b">
        <f t="shared" si="2"/>
        <v>0</v>
      </c>
      <c r="E141">
        <f>IF(B141&gt;0,INDEX('PGA Shot Table'!$B$2:$G$137,MATCH(Template!B141,'PGA Shot Table'!$A$2:$A$137,0),MATCH(Template!D141,'PGA Shot Table'!$B$1:$G$1,0)),0)</f>
        <v>0</v>
      </c>
    </row>
    <row r="142" spans="1:5" x14ac:dyDescent="0.2">
      <c r="C142" t="b">
        <f t="shared" si="2"/>
        <v>0</v>
      </c>
      <c r="E142">
        <f>IF(B142&gt;0,INDEX('PGA Shot Table'!$B$2:$G$137,MATCH(Template!B142,'PGA Shot Table'!$A$2:$A$137,0),MATCH(Template!D142,'PGA Shot Table'!$B$1:$G$1,0)),0)</f>
        <v>0</v>
      </c>
    </row>
    <row r="143" spans="1:5" x14ac:dyDescent="0.2">
      <c r="C143" t="b">
        <f t="shared" si="2"/>
        <v>0</v>
      </c>
      <c r="E143">
        <f>IF(B143&gt;0,INDEX('PGA Shot Table'!$B$2:$G$137,MATCH(Template!B143,'PGA Shot Table'!$A$2:$A$137,0),MATCH(Template!D143,'PGA Shot Table'!$B$1:$G$1,0)),0)</f>
        <v>0</v>
      </c>
    </row>
    <row r="144" spans="1:5" x14ac:dyDescent="0.2">
      <c r="C144" t="b">
        <f t="shared" si="2"/>
        <v>0</v>
      </c>
      <c r="E144">
        <f>IF(B144&gt;0,INDEX('PGA Shot Table'!$B$2:$G$137,MATCH(Template!B144,'PGA Shot Table'!$A$2:$A$137,0),MATCH(Template!D144,'PGA Shot Table'!$B$1:$G$1,0)),0)</f>
        <v>0</v>
      </c>
    </row>
  </sheetData>
  <phoneticPr fontId="1"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5C36B742-B0C9-482D-99E0-42DC16B70FC5}">
          <x14:formula1>
            <xm:f>'Lie Table'!$A$1:$A$6</xm:f>
          </x14:formula1>
          <xm:sqref>H2:H9 D2:D145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AEAE1-DE04-40B4-8AFB-B88D12D4AB2F}">
  <sheetPr codeName="Sheet3"/>
  <dimension ref="A1:F83"/>
  <sheetViews>
    <sheetView topLeftCell="A52" zoomScale="180" zoomScaleNormal="180" workbookViewId="0">
      <selection activeCell="E72" sqref="E72"/>
    </sheetView>
  </sheetViews>
  <sheetFormatPr baseColWidth="10" defaultColWidth="8.83203125" defaultRowHeight="15" x14ac:dyDescent="0.2"/>
  <cols>
    <col min="3" max="3" width="14" customWidth="1"/>
    <col min="5" max="5" width="9.6640625" bestFit="1" customWidth="1"/>
    <col min="6" max="6" width="11.6640625" customWidth="1"/>
  </cols>
  <sheetData>
    <row r="1" spans="1:6" x14ac:dyDescent="0.2">
      <c r="B1" t="s">
        <v>25</v>
      </c>
      <c r="C1" t="s">
        <v>34</v>
      </c>
      <c r="D1" t="s">
        <v>26</v>
      </c>
      <c r="E1" t="s">
        <v>28</v>
      </c>
      <c r="F1" t="s">
        <v>27</v>
      </c>
    </row>
    <row r="2" spans="1:6" x14ac:dyDescent="0.2">
      <c r="A2" t="s">
        <v>7</v>
      </c>
      <c r="B2">
        <v>410</v>
      </c>
      <c r="C2" t="str">
        <f>IF(B2&gt;230,"&gt;230",IF(B2&gt;110,"110-230",IF(B2&gt;50,"50-110",IF(B2&gt;25,"25-50",IF(B2&gt;15,"15-25",IF(B2&gt;8,"8-15",IF(B2&gt;0,"0-8")))))))</f>
        <v>&gt;230</v>
      </c>
      <c r="D2" t="s">
        <v>1</v>
      </c>
      <c r="E2" s="2">
        <f>IF(B2&gt;0,INDEX('PGA Shot Table'!$B$2:$G$137,MATCH(Example!B2,'PGA Shot Table'!$A$2:$A$137,0),MATCH(Example!D2,'PGA Shot Table'!$B$1:$G$1,0)),0)</f>
        <v>4.01</v>
      </c>
      <c r="F2" s="2">
        <f t="shared" ref="F2:F33" si="0">IF(A3&lt;&gt;"", E2-1, E2-E3-1)</f>
        <v>-0.11000000000000032</v>
      </c>
    </row>
    <row r="3" spans="1:6" x14ac:dyDescent="0.2">
      <c r="B3">
        <v>130</v>
      </c>
      <c r="C3" t="str">
        <f t="shared" ref="C3:C66" si="1">IF(B3&gt;230,"&gt;230",IF(B3&gt;110,"110-230",IF(B3&gt;50,"50-110",IF(B3&gt;25,"25-50",IF(B3&gt;15,"15-25",IF(B3&gt;8,"8-15",IF(B3&gt;0,"0-8")))))))</f>
        <v>110-230</v>
      </c>
      <c r="D3" t="s">
        <v>3</v>
      </c>
      <c r="E3" s="2">
        <f>IF(B3&gt;0,INDEX('PGA Shot Table'!$B$2:$G$137,MATCH(Example!B3,'PGA Shot Table'!$A$2:$A$137,0),MATCH(Example!D3,'PGA Shot Table'!$B$1:$G$1,0)),0)</f>
        <v>3.12</v>
      </c>
      <c r="F3" s="2">
        <f t="shared" si="0"/>
        <v>-0.2799999999999998</v>
      </c>
    </row>
    <row r="4" spans="1:6" x14ac:dyDescent="0.2">
      <c r="B4">
        <v>20</v>
      </c>
      <c r="C4" t="str">
        <f t="shared" si="1"/>
        <v>15-25</v>
      </c>
      <c r="D4" t="s">
        <v>2</v>
      </c>
      <c r="E4" s="2">
        <f>IF(B4&gt;0,INDEX('PGA Shot Table'!$B$2:$G$137,MATCH(Example!B4,'PGA Shot Table'!$A$2:$A$137,0),MATCH(Example!D4,'PGA Shot Table'!$B$1:$G$1,0)),0)</f>
        <v>2.4</v>
      </c>
      <c r="F4" s="2">
        <f t="shared" si="0"/>
        <v>0.16999999999999993</v>
      </c>
    </row>
    <row r="5" spans="1:6" x14ac:dyDescent="0.2">
      <c r="B5">
        <v>5</v>
      </c>
      <c r="C5" t="str">
        <f t="shared" si="1"/>
        <v>0-8</v>
      </c>
      <c r="D5" t="s">
        <v>6</v>
      </c>
      <c r="E5" s="2">
        <f>IF(B5&gt;0,INDEX('PGA Shot Table'!$B$2:$G$137,MATCH(Example!B5,'PGA Shot Table'!$A$2:$A$137,0),MATCH(Example!D5,'PGA Shot Table'!$B$1:$G$1,0)),0)</f>
        <v>1.23</v>
      </c>
      <c r="F5" s="2">
        <f t="shared" si="0"/>
        <v>-0.81</v>
      </c>
    </row>
    <row r="6" spans="1:6" x14ac:dyDescent="0.2">
      <c r="B6">
        <v>3</v>
      </c>
      <c r="C6" t="str">
        <f t="shared" si="1"/>
        <v>0-8</v>
      </c>
      <c r="D6" t="s">
        <v>6</v>
      </c>
      <c r="E6" s="2">
        <f>IF(B6&gt;0,INDEX('PGA Shot Table'!$B$2:$G$137,MATCH(Example!B6,'PGA Shot Table'!$A$2:$A$137,0),MATCH(Example!D6,'PGA Shot Table'!$B$1:$G$1,0)),0)</f>
        <v>1.04</v>
      </c>
      <c r="F6" s="2">
        <f t="shared" si="0"/>
        <v>4.0000000000000036E-2</v>
      </c>
    </row>
    <row r="7" spans="1:6" x14ac:dyDescent="0.2">
      <c r="A7" t="s">
        <v>8</v>
      </c>
      <c r="B7">
        <v>150</v>
      </c>
      <c r="C7" t="str">
        <f t="shared" si="1"/>
        <v>110-230</v>
      </c>
      <c r="D7" t="s">
        <v>2</v>
      </c>
      <c r="E7" s="2">
        <f>IF(B7&gt;0,INDEX('PGA Shot Table'!$B$2:$G$137,MATCH(Example!B7,'PGA Shot Table'!$A$2:$A$137,0),MATCH(Example!D7,'PGA Shot Table'!$B$1:$G$1,0)),0)</f>
        <v>2.95</v>
      </c>
      <c r="F7" s="2">
        <f t="shared" si="0"/>
        <v>-2.9999999999999805E-2</v>
      </c>
    </row>
    <row r="8" spans="1:6" x14ac:dyDescent="0.2">
      <c r="B8">
        <v>30</v>
      </c>
      <c r="C8" t="str">
        <f t="shared" si="1"/>
        <v>25-50</v>
      </c>
      <c r="D8" t="s">
        <v>6</v>
      </c>
      <c r="E8" s="2">
        <f>IF(B8&gt;0,INDEX('PGA Shot Table'!$B$2:$G$137,MATCH(Example!B8,'PGA Shot Table'!$A$2:$A$137,0),MATCH(Example!D8,'PGA Shot Table'!$B$1:$G$1,0)),0)</f>
        <v>1.98</v>
      </c>
      <c r="F8" s="2">
        <f t="shared" si="0"/>
        <v>-0.14999999999999991</v>
      </c>
    </row>
    <row r="9" spans="1:6" x14ac:dyDescent="0.2">
      <c r="B9">
        <v>4</v>
      </c>
      <c r="C9" t="str">
        <f t="shared" si="1"/>
        <v>0-8</v>
      </c>
      <c r="D9" t="s">
        <v>6</v>
      </c>
      <c r="E9" s="2">
        <f>IF(B9&gt;0,INDEX('PGA Shot Table'!$B$2:$G$137,MATCH(Example!B9,'PGA Shot Table'!$A$2:$A$137,0),MATCH(Example!D9,'PGA Shot Table'!$B$1:$G$1,0)),0)</f>
        <v>1.1299999999999999</v>
      </c>
      <c r="F9" s="2">
        <f t="shared" si="0"/>
        <v>-0.91000000000000014</v>
      </c>
    </row>
    <row r="10" spans="1:6" x14ac:dyDescent="0.2">
      <c r="B10">
        <v>3</v>
      </c>
      <c r="C10" t="str">
        <f t="shared" si="1"/>
        <v>0-8</v>
      </c>
      <c r="D10" t="s">
        <v>6</v>
      </c>
      <c r="E10" s="2">
        <f>IF(B10&gt;0,INDEX('PGA Shot Table'!$B$2:$G$137,MATCH(Example!B10,'PGA Shot Table'!$A$2:$A$137,0),MATCH(Example!D10,'PGA Shot Table'!$B$1:$G$1,0)),0)</f>
        <v>1.04</v>
      </c>
      <c r="F10" s="2">
        <f t="shared" si="0"/>
        <v>4.0000000000000036E-2</v>
      </c>
    </row>
    <row r="11" spans="1:6" x14ac:dyDescent="0.2">
      <c r="A11" t="s">
        <v>9</v>
      </c>
      <c r="B11">
        <v>505</v>
      </c>
      <c r="C11" t="str">
        <f t="shared" si="1"/>
        <v>&gt;230</v>
      </c>
      <c r="D11" t="s">
        <v>1</v>
      </c>
      <c r="E11" s="2">
        <f>IF(B11&gt;0,INDEX('PGA Shot Table'!$B$2:$G$137,MATCH(Example!B11,'PGA Shot Table'!$A$2:$A$137,0),MATCH(Example!D11,'PGA Shot Table'!$B$1:$G$1,0)),0)</f>
        <v>4.45</v>
      </c>
      <c r="F11" s="2">
        <f t="shared" si="0"/>
        <v>-0.62000000000000011</v>
      </c>
    </row>
    <row r="12" spans="1:6" x14ac:dyDescent="0.2">
      <c r="B12">
        <v>270</v>
      </c>
      <c r="C12" t="str">
        <f t="shared" si="1"/>
        <v>&gt;230</v>
      </c>
      <c r="D12" t="s">
        <v>5</v>
      </c>
      <c r="E12" s="2">
        <f>IF(B12&gt;0,INDEX('PGA Shot Table'!$B$2:$G$137,MATCH(Example!B12,'PGA Shot Table'!$A$2:$A$137,0),MATCH(Example!D12,'PGA Shot Table'!$B$1:$G$1,0)),0)</f>
        <v>4.07</v>
      </c>
      <c r="F12" s="2">
        <f t="shared" si="0"/>
        <v>-0.23999999999999977</v>
      </c>
    </row>
    <row r="13" spans="1:6" x14ac:dyDescent="0.2">
      <c r="B13">
        <v>180</v>
      </c>
      <c r="C13" t="str">
        <f t="shared" si="1"/>
        <v>110-230</v>
      </c>
      <c r="D13" t="s">
        <v>3</v>
      </c>
      <c r="E13" s="2">
        <f>IF(B13&gt;0,INDEX('PGA Shot Table'!$B$2:$G$137,MATCH(Example!B13,'PGA Shot Table'!$A$2:$A$137,0),MATCH(Example!D13,'PGA Shot Table'!$B$1:$G$1,0)),0)</f>
        <v>3.31</v>
      </c>
      <c r="F13" s="2">
        <f t="shared" si="0"/>
        <v>-0.35999999999999988</v>
      </c>
    </row>
    <row r="14" spans="1:6" x14ac:dyDescent="0.2">
      <c r="B14">
        <v>30</v>
      </c>
      <c r="C14" t="str">
        <f t="shared" si="1"/>
        <v>25-50</v>
      </c>
      <c r="D14" t="s">
        <v>3</v>
      </c>
      <c r="E14" s="2">
        <f>IF(B14&gt;0,INDEX('PGA Shot Table'!$B$2:$G$137,MATCH(Example!B14,'PGA Shot Table'!$A$2:$A$137,0),MATCH(Example!D14,'PGA Shot Table'!$B$1:$G$1,0)),0)</f>
        <v>2.67</v>
      </c>
      <c r="F14" s="2">
        <f t="shared" si="0"/>
        <v>0.65999999999999992</v>
      </c>
    </row>
    <row r="15" spans="1:6" x14ac:dyDescent="0.2">
      <c r="B15">
        <v>1</v>
      </c>
      <c r="C15" t="str">
        <f t="shared" si="1"/>
        <v>0-8</v>
      </c>
      <c r="D15" t="s">
        <v>6</v>
      </c>
      <c r="E15" s="2">
        <f>IF(B15&gt;0,INDEX('PGA Shot Table'!$B$2:$G$137,MATCH(Example!B15,'PGA Shot Table'!$A$2:$A$137,0),MATCH(Example!D15,'PGA Shot Table'!$B$1:$G$1,0)),0)</f>
        <v>1.01</v>
      </c>
      <c r="F15" s="2">
        <f t="shared" si="0"/>
        <v>1.0000000000000009E-2</v>
      </c>
    </row>
    <row r="16" spans="1:6" x14ac:dyDescent="0.2">
      <c r="A16" t="s">
        <v>10</v>
      </c>
      <c r="B16">
        <v>405</v>
      </c>
      <c r="C16" t="str">
        <f t="shared" si="1"/>
        <v>&gt;230</v>
      </c>
      <c r="D16" t="s">
        <v>1</v>
      </c>
      <c r="E16" s="2">
        <f>IF(B16&gt;0,INDEX('PGA Shot Table'!$B$2:$G$137,MATCH(Example!B16,'PGA Shot Table'!$A$2:$A$137,0),MATCH(Example!D16,'PGA Shot Table'!$B$1:$G$1,0)),0)</f>
        <v>4</v>
      </c>
      <c r="F16" s="2">
        <f t="shared" si="0"/>
        <v>2.0000000000000018E-2</v>
      </c>
    </row>
    <row r="17" spans="1:6" x14ac:dyDescent="0.2">
      <c r="B17">
        <v>160</v>
      </c>
      <c r="C17" t="str">
        <f t="shared" si="1"/>
        <v>110-230</v>
      </c>
      <c r="D17" t="s">
        <v>2</v>
      </c>
      <c r="E17" s="2">
        <f>IF(B17&gt;0,INDEX('PGA Shot Table'!$B$2:$G$137,MATCH(Example!B17,'PGA Shot Table'!$A$2:$A$137,0),MATCH(Example!D17,'PGA Shot Table'!$B$1:$G$1,0)),0)</f>
        <v>2.98</v>
      </c>
      <c r="F17" s="2">
        <f t="shared" si="0"/>
        <v>-0.31999999999999984</v>
      </c>
    </row>
    <row r="18" spans="1:6" x14ac:dyDescent="0.2">
      <c r="B18">
        <v>15</v>
      </c>
      <c r="C18" t="str">
        <f t="shared" si="1"/>
        <v>8-15</v>
      </c>
      <c r="D18" t="s">
        <v>2</v>
      </c>
      <c r="E18" s="2">
        <f>IF(B18&gt;0,INDEX('PGA Shot Table'!$B$2:$G$137,MATCH(Example!B18,'PGA Shot Table'!$A$2:$A$137,0),MATCH(Example!D18,'PGA Shot Table'!$B$1:$G$1,0)),0)</f>
        <v>2.2999999999999998</v>
      </c>
      <c r="F18" s="2">
        <f t="shared" si="0"/>
        <v>0.16999999999999993</v>
      </c>
    </row>
    <row r="19" spans="1:6" x14ac:dyDescent="0.2">
      <c r="B19">
        <v>4</v>
      </c>
      <c r="C19" t="str">
        <f t="shared" si="1"/>
        <v>0-8</v>
      </c>
      <c r="D19" t="s">
        <v>6</v>
      </c>
      <c r="E19" s="2">
        <f>IF(B19&gt;0,INDEX('PGA Shot Table'!$B$2:$G$137,MATCH(Example!B19,'PGA Shot Table'!$A$2:$A$137,0),MATCH(Example!D19,'PGA Shot Table'!$B$1:$G$1,0)),0)</f>
        <v>1.1299999999999999</v>
      </c>
      <c r="F19" s="2">
        <f t="shared" si="0"/>
        <v>-0.89000000000000012</v>
      </c>
    </row>
    <row r="20" spans="1:6" x14ac:dyDescent="0.2">
      <c r="B20">
        <v>2</v>
      </c>
      <c r="C20" t="str">
        <f t="shared" si="1"/>
        <v>0-8</v>
      </c>
      <c r="D20" t="s">
        <v>6</v>
      </c>
      <c r="E20" s="2">
        <f>IF(B20&gt;0,INDEX('PGA Shot Table'!$B$2:$G$137,MATCH(Example!B20,'PGA Shot Table'!$A$2:$A$137,0),MATCH(Example!D20,'PGA Shot Table'!$B$1:$G$1,0)),0)</f>
        <v>1.02</v>
      </c>
      <c r="F20" s="2">
        <f t="shared" si="0"/>
        <v>2.0000000000000018E-2</v>
      </c>
    </row>
    <row r="21" spans="1:6" x14ac:dyDescent="0.2">
      <c r="A21" t="s">
        <v>11</v>
      </c>
      <c r="B21">
        <v>525</v>
      </c>
      <c r="C21" t="str">
        <f t="shared" si="1"/>
        <v>&gt;230</v>
      </c>
      <c r="D21" t="s">
        <v>1</v>
      </c>
      <c r="E21" s="2">
        <f>IF(B21&gt;0,INDEX('PGA Shot Table'!$B$2:$G$137,MATCH(Example!B21,'PGA Shot Table'!$A$2:$A$137,0),MATCH(Example!D21,'PGA Shot Table'!$B$1:$G$1,0)),0)</f>
        <v>4.57</v>
      </c>
      <c r="F21" s="2">
        <f t="shared" si="0"/>
        <v>-9.9999999999997868E-3</v>
      </c>
    </row>
    <row r="22" spans="1:6" x14ac:dyDescent="0.2">
      <c r="B22">
        <v>260</v>
      </c>
      <c r="C22" t="str">
        <f t="shared" si="1"/>
        <v>&gt;230</v>
      </c>
      <c r="D22" t="s">
        <v>2</v>
      </c>
      <c r="E22" s="2">
        <f>IF(B22&gt;0,INDEX('PGA Shot Table'!$B$2:$G$137,MATCH(Example!B22,'PGA Shot Table'!$A$2:$A$137,0),MATCH(Example!D22,'PGA Shot Table'!$B$1:$G$1,0)),0)</f>
        <v>3.58</v>
      </c>
      <c r="F22" s="2">
        <f t="shared" si="0"/>
        <v>-0.37000000000000011</v>
      </c>
    </row>
    <row r="23" spans="1:6" x14ac:dyDescent="0.2">
      <c r="B23">
        <v>150</v>
      </c>
      <c r="C23" t="str">
        <f t="shared" si="1"/>
        <v>110-230</v>
      </c>
      <c r="D23" t="s">
        <v>2</v>
      </c>
      <c r="E23" s="2">
        <f>IF(B23&gt;0,INDEX('PGA Shot Table'!$B$2:$G$137,MATCH(Example!B23,'PGA Shot Table'!$A$2:$A$137,0),MATCH(Example!D23,'PGA Shot Table'!$B$1:$G$1,0)),0)</f>
        <v>2.95</v>
      </c>
      <c r="F23" s="2">
        <f t="shared" si="0"/>
        <v>-0.82999999999999963</v>
      </c>
    </row>
    <row r="24" spans="1:6" x14ac:dyDescent="0.2">
      <c r="B24">
        <v>40</v>
      </c>
      <c r="C24" t="str">
        <f t="shared" si="1"/>
        <v>25-50</v>
      </c>
      <c r="D24" t="s">
        <v>3</v>
      </c>
      <c r="E24" s="2">
        <f>IF(B24&gt;0,INDEX('PGA Shot Table'!$B$2:$G$137,MATCH(Example!B24,'PGA Shot Table'!$A$2:$A$137,0),MATCH(Example!D24,'PGA Shot Table'!$B$1:$G$1,0)),0)</f>
        <v>2.78</v>
      </c>
      <c r="F24" s="2">
        <f t="shared" si="0"/>
        <v>0.54999999999999982</v>
      </c>
    </row>
    <row r="25" spans="1:6" x14ac:dyDescent="0.2">
      <c r="B25">
        <v>5</v>
      </c>
      <c r="C25" t="str">
        <f t="shared" si="1"/>
        <v>0-8</v>
      </c>
      <c r="D25" t="s">
        <v>6</v>
      </c>
      <c r="E25" s="2">
        <f>IF(B25&gt;0,INDEX('PGA Shot Table'!$B$2:$G$137,MATCH(Example!B25,'PGA Shot Table'!$A$2:$A$137,0),MATCH(Example!D25,'PGA Shot Table'!$B$1:$G$1,0)),0)</f>
        <v>1.23</v>
      </c>
      <c r="F25" s="2">
        <f t="shared" si="0"/>
        <v>0.22999999999999998</v>
      </c>
    </row>
    <row r="26" spans="1:6" x14ac:dyDescent="0.2">
      <c r="A26" t="s">
        <v>12</v>
      </c>
      <c r="B26">
        <v>370</v>
      </c>
      <c r="C26" t="str">
        <f t="shared" si="1"/>
        <v>&gt;230</v>
      </c>
      <c r="D26" t="s">
        <v>1</v>
      </c>
      <c r="E26" s="2">
        <f>IF(B26&gt;0,INDEX('PGA Shot Table'!$B$2:$G$137,MATCH(Example!B26,'PGA Shot Table'!$A$2:$A$137,0),MATCH(Example!D26,'PGA Shot Table'!$B$1:$G$1,0)),0)</f>
        <v>3.94</v>
      </c>
      <c r="F26" s="2">
        <f t="shared" si="0"/>
        <v>-0.10999999999999988</v>
      </c>
    </row>
    <row r="27" spans="1:6" x14ac:dyDescent="0.2">
      <c r="B27">
        <v>110</v>
      </c>
      <c r="C27" t="str">
        <f t="shared" si="1"/>
        <v>50-110</v>
      </c>
      <c r="D27" t="s">
        <v>3</v>
      </c>
      <c r="E27" s="2">
        <f>IF(B27&gt;0,INDEX('PGA Shot Table'!$B$2:$G$137,MATCH(Example!B27,'PGA Shot Table'!$A$2:$A$137,0),MATCH(Example!D27,'PGA Shot Table'!$B$1:$G$1,0)),0)</f>
        <v>3.05</v>
      </c>
      <c r="F27" s="2">
        <f t="shared" si="0"/>
        <v>-0.15000000000000036</v>
      </c>
    </row>
    <row r="28" spans="1:6" x14ac:dyDescent="0.2">
      <c r="B28">
        <v>10</v>
      </c>
      <c r="C28" t="str">
        <f t="shared" si="1"/>
        <v>8-15</v>
      </c>
      <c r="D28" t="s">
        <v>2</v>
      </c>
      <c r="E28" s="2">
        <f>IF(B28&gt;0,INDEX('PGA Shot Table'!$B$2:$G$137,MATCH(Example!B28,'PGA Shot Table'!$A$2:$A$137,0),MATCH(Example!D28,'PGA Shot Table'!$B$1:$G$1,0)),0)</f>
        <v>2.2000000000000002</v>
      </c>
      <c r="F28" s="2">
        <f t="shared" si="0"/>
        <v>-2.9999999999999805E-2</v>
      </c>
    </row>
    <row r="29" spans="1:6" x14ac:dyDescent="0.2">
      <c r="B29">
        <v>5</v>
      </c>
      <c r="C29" t="str">
        <f t="shared" si="1"/>
        <v>0-8</v>
      </c>
      <c r="D29" t="s">
        <v>6</v>
      </c>
      <c r="E29" s="2">
        <f>IF(B29&gt;0,INDEX('PGA Shot Table'!$B$2:$G$137,MATCH(Example!B29,'PGA Shot Table'!$A$2:$A$137,0),MATCH(Example!D29,'PGA Shot Table'!$B$1:$G$1,0)),0)</f>
        <v>1.23</v>
      </c>
      <c r="F29" s="2">
        <f t="shared" si="0"/>
        <v>-0.79</v>
      </c>
    </row>
    <row r="30" spans="1:6" x14ac:dyDescent="0.2">
      <c r="B30">
        <v>2</v>
      </c>
      <c r="C30" t="str">
        <f t="shared" si="1"/>
        <v>0-8</v>
      </c>
      <c r="D30" t="s">
        <v>6</v>
      </c>
      <c r="E30" s="2">
        <f>IF(B30&gt;0,INDEX('PGA Shot Table'!$B$2:$G$137,MATCH(Example!B30,'PGA Shot Table'!$A$2:$A$137,0),MATCH(Example!D30,'PGA Shot Table'!$B$1:$G$1,0)),0)</f>
        <v>1.02</v>
      </c>
      <c r="F30" s="2">
        <f t="shared" si="0"/>
        <v>2.0000000000000018E-2</v>
      </c>
    </row>
    <row r="31" spans="1:6" x14ac:dyDescent="0.2">
      <c r="A31" t="s">
        <v>13</v>
      </c>
      <c r="B31">
        <v>510</v>
      </c>
      <c r="C31" t="str">
        <f t="shared" si="1"/>
        <v>&gt;230</v>
      </c>
      <c r="D31" t="s">
        <v>1</v>
      </c>
      <c r="E31" s="2">
        <f>IF(B31&gt;0,INDEX('PGA Shot Table'!$B$2:$G$137,MATCH(Example!B31,'PGA Shot Table'!$A$2:$A$137,0),MATCH(Example!D31,'PGA Shot Table'!$B$1:$G$1,0)),0)</f>
        <v>4.4800000000000004</v>
      </c>
      <c r="F31" s="2">
        <f t="shared" si="0"/>
        <v>-0.58999999999999986</v>
      </c>
    </row>
    <row r="32" spans="1:6" x14ac:dyDescent="0.2">
      <c r="B32">
        <v>270</v>
      </c>
      <c r="C32" t="str">
        <f t="shared" si="1"/>
        <v>&gt;230</v>
      </c>
      <c r="D32" t="s">
        <v>5</v>
      </c>
      <c r="E32" s="2">
        <f>IF(B32&gt;0,INDEX('PGA Shot Table'!$B$2:$G$137,MATCH(Example!B32,'PGA Shot Table'!$A$2:$A$137,0),MATCH(Example!D32,'PGA Shot Table'!$B$1:$G$1,0)),0)</f>
        <v>4.07</v>
      </c>
      <c r="F32" s="2">
        <f t="shared" si="0"/>
        <v>-0.37999999999999989</v>
      </c>
    </row>
    <row r="33" spans="1:6" x14ac:dyDescent="0.2">
      <c r="B33">
        <v>240</v>
      </c>
      <c r="C33" t="str">
        <f t="shared" si="1"/>
        <v>&gt;230</v>
      </c>
      <c r="D33" t="s">
        <v>2</v>
      </c>
      <c r="E33" s="2">
        <f>IF(B33&gt;0,INDEX('PGA Shot Table'!$B$2:$G$137,MATCH(Example!B33,'PGA Shot Table'!$A$2:$A$137,0),MATCH(Example!D33,'PGA Shot Table'!$B$1:$G$1,0)),0)</f>
        <v>3.45</v>
      </c>
      <c r="F33" s="2">
        <f t="shared" si="0"/>
        <v>-4.9999999999999822E-2</v>
      </c>
    </row>
    <row r="34" spans="1:6" x14ac:dyDescent="0.2">
      <c r="B34">
        <v>30</v>
      </c>
      <c r="C34" t="str">
        <f t="shared" si="1"/>
        <v>25-50</v>
      </c>
      <c r="D34" t="s">
        <v>2</v>
      </c>
      <c r="E34" s="2">
        <f>IF(B34&gt;0,INDEX('PGA Shot Table'!$B$2:$G$137,MATCH(Example!B34,'PGA Shot Table'!$A$2:$A$137,0),MATCH(Example!D34,'PGA Shot Table'!$B$1:$G$1,0)),0)</f>
        <v>2.5</v>
      </c>
      <c r="F34" s="2">
        <f t="shared" ref="F34:F65" si="2">IF(A35&lt;&gt;"", E34-1, E34-E35-1)</f>
        <v>-0.95000000000000018</v>
      </c>
    </row>
    <row r="35" spans="1:6" x14ac:dyDescent="0.2">
      <c r="B35">
        <v>25</v>
      </c>
      <c r="C35" t="str">
        <f t="shared" si="1"/>
        <v>15-25</v>
      </c>
      <c r="D35" t="s">
        <v>2</v>
      </c>
      <c r="E35" s="2">
        <f>IF(B35&gt;0,INDEX('PGA Shot Table'!$B$2:$G$137,MATCH(Example!B35,'PGA Shot Table'!$A$2:$A$137,0),MATCH(Example!D35,'PGA Shot Table'!$B$1:$G$1,0)),0)</f>
        <v>2.4500000000000002</v>
      </c>
      <c r="F35" s="2">
        <f t="shared" si="2"/>
        <v>-0.32999999999999985</v>
      </c>
    </row>
    <row r="36" spans="1:6" x14ac:dyDescent="0.2">
      <c r="B36">
        <v>15</v>
      </c>
      <c r="C36" t="str">
        <f t="shared" si="1"/>
        <v>8-15</v>
      </c>
      <c r="D36" t="s">
        <v>6</v>
      </c>
      <c r="E36" s="2">
        <f>IF(B36&gt;0,INDEX('PGA Shot Table'!$B$2:$G$137,MATCH(Example!B36,'PGA Shot Table'!$A$2:$A$137,0),MATCH(Example!D36,'PGA Shot Table'!$B$1:$G$1,0)),0)</f>
        <v>1.78</v>
      </c>
      <c r="F36" s="2">
        <f t="shared" si="2"/>
        <v>-0.24</v>
      </c>
    </row>
    <row r="37" spans="1:6" x14ac:dyDescent="0.2">
      <c r="B37">
        <v>2</v>
      </c>
      <c r="C37" t="str">
        <f t="shared" si="1"/>
        <v>0-8</v>
      </c>
      <c r="D37" t="s">
        <v>6</v>
      </c>
      <c r="E37" s="2">
        <f>IF(B37&gt;0,INDEX('PGA Shot Table'!$B$2:$G$137,MATCH(Example!B37,'PGA Shot Table'!$A$2:$A$137,0),MATCH(Example!D37,'PGA Shot Table'!$B$1:$G$1,0)),0)</f>
        <v>1.02</v>
      </c>
      <c r="F37" s="2">
        <f t="shared" si="2"/>
        <v>2.0000000000000018E-2</v>
      </c>
    </row>
    <row r="38" spans="1:6" x14ac:dyDescent="0.2">
      <c r="A38" t="s">
        <v>14</v>
      </c>
      <c r="B38">
        <v>180</v>
      </c>
      <c r="C38" t="str">
        <f t="shared" si="1"/>
        <v>110-230</v>
      </c>
      <c r="D38" t="s">
        <v>2</v>
      </c>
      <c r="E38" s="2">
        <f>IF(B38&gt;0,INDEX('PGA Shot Table'!$B$2:$G$137,MATCH(Example!B38,'PGA Shot Table'!$A$2:$A$137,0),MATCH(Example!D38,'PGA Shot Table'!$B$1:$G$1,0)),0)</f>
        <v>3.08</v>
      </c>
      <c r="F38" s="2">
        <f t="shared" si="2"/>
        <v>0.10000000000000009</v>
      </c>
    </row>
    <row r="39" spans="1:6" x14ac:dyDescent="0.2">
      <c r="B39">
        <v>30</v>
      </c>
      <c r="C39" t="str">
        <f t="shared" si="1"/>
        <v>25-50</v>
      </c>
      <c r="D39" t="s">
        <v>6</v>
      </c>
      <c r="E39" s="2">
        <f>IF(B39&gt;0,INDEX('PGA Shot Table'!$B$2:$G$137,MATCH(Example!B39,'PGA Shot Table'!$A$2:$A$137,0),MATCH(Example!D39,'PGA Shot Table'!$B$1:$G$1,0)),0)</f>
        <v>1.98</v>
      </c>
      <c r="F39" s="2">
        <f t="shared" si="2"/>
        <v>-6.0000000000000053E-2</v>
      </c>
    </row>
    <row r="40" spans="1:6" x14ac:dyDescent="0.2">
      <c r="B40">
        <v>3</v>
      </c>
      <c r="C40" t="str">
        <f t="shared" si="1"/>
        <v>0-8</v>
      </c>
      <c r="D40" t="s">
        <v>6</v>
      </c>
      <c r="E40" s="2">
        <f>IF(B40&gt;0,INDEX('PGA Shot Table'!$B$2:$G$137,MATCH(Example!B40,'PGA Shot Table'!$A$2:$A$137,0),MATCH(Example!D40,'PGA Shot Table'!$B$1:$G$1,0)),0)</f>
        <v>1.04</v>
      </c>
      <c r="F40" s="2">
        <f t="shared" si="2"/>
        <v>4.0000000000000036E-2</v>
      </c>
    </row>
    <row r="41" spans="1:6" x14ac:dyDescent="0.2">
      <c r="A41" t="s">
        <v>15</v>
      </c>
      <c r="B41">
        <v>380</v>
      </c>
      <c r="C41" t="str">
        <f t="shared" si="1"/>
        <v>&gt;230</v>
      </c>
      <c r="D41" t="s">
        <v>1</v>
      </c>
      <c r="E41" s="2">
        <f>IF(B41&gt;0,INDEX('PGA Shot Table'!$B$2:$G$137,MATCH(Example!B41,'PGA Shot Table'!$A$2:$A$137,0),MATCH(Example!D41,'PGA Shot Table'!$B$1:$G$1,0)),0)</f>
        <v>3.96</v>
      </c>
      <c r="F41" s="2">
        <f t="shared" si="2"/>
        <v>8.0000000000000071E-2</v>
      </c>
    </row>
    <row r="42" spans="1:6" x14ac:dyDescent="0.2">
      <c r="B42">
        <v>110</v>
      </c>
      <c r="C42" t="str">
        <f t="shared" si="1"/>
        <v>50-110</v>
      </c>
      <c r="D42" t="s">
        <v>2</v>
      </c>
      <c r="E42" s="2">
        <f>IF(B42&gt;0,INDEX('PGA Shot Table'!$B$2:$G$137,MATCH(Example!B42,'PGA Shot Table'!$A$2:$A$137,0),MATCH(Example!D42,'PGA Shot Table'!$B$1:$G$1,0)),0)</f>
        <v>2.88</v>
      </c>
      <c r="F42" s="2">
        <f t="shared" si="2"/>
        <v>-0.32000000000000028</v>
      </c>
    </row>
    <row r="43" spans="1:6" x14ac:dyDescent="0.2">
      <c r="B43">
        <v>10</v>
      </c>
      <c r="C43" t="str">
        <f t="shared" si="1"/>
        <v>8-15</v>
      </c>
      <c r="D43" t="s">
        <v>2</v>
      </c>
      <c r="E43" s="2">
        <f>IF(B43&gt;0,INDEX('PGA Shot Table'!$B$2:$G$137,MATCH(Example!B43,'PGA Shot Table'!$A$2:$A$137,0),MATCH(Example!D43,'PGA Shot Table'!$B$1:$G$1,0)),0)</f>
        <v>2.2000000000000002</v>
      </c>
      <c r="F43" s="2">
        <f t="shared" si="2"/>
        <v>7.0000000000000284E-2</v>
      </c>
    </row>
    <row r="44" spans="1:6" x14ac:dyDescent="0.2">
      <c r="B44">
        <v>4</v>
      </c>
      <c r="C44" t="str">
        <f t="shared" si="1"/>
        <v>0-8</v>
      </c>
      <c r="D44" t="s">
        <v>6</v>
      </c>
      <c r="E44" s="2">
        <f>IF(B44&gt;0,INDEX('PGA Shot Table'!$B$2:$G$137,MATCH(Example!B44,'PGA Shot Table'!$A$2:$A$137,0),MATCH(Example!D44,'PGA Shot Table'!$B$1:$G$1,0)),0)</f>
        <v>1.1299999999999999</v>
      </c>
      <c r="F44" s="2">
        <f t="shared" si="2"/>
        <v>0.12999999999999989</v>
      </c>
    </row>
    <row r="45" spans="1:6" x14ac:dyDescent="0.2">
      <c r="A45" t="s">
        <v>16</v>
      </c>
      <c r="B45">
        <v>430</v>
      </c>
      <c r="C45" t="str">
        <f t="shared" si="1"/>
        <v>&gt;230</v>
      </c>
      <c r="D45" t="s">
        <v>1</v>
      </c>
      <c r="E45" s="2">
        <f>IF(B45&gt;0,INDEX('PGA Shot Table'!$B$2:$G$137,MATCH(Example!B45,'PGA Shot Table'!$A$2:$A$137,0),MATCH(Example!D45,'PGA Shot Table'!$B$1:$G$1,0)),0)</f>
        <v>4.05</v>
      </c>
      <c r="F45" s="2">
        <f t="shared" si="2"/>
        <v>-0.74000000000000021</v>
      </c>
    </row>
    <row r="46" spans="1:6" x14ac:dyDescent="0.2">
      <c r="B46">
        <v>130</v>
      </c>
      <c r="C46" t="str">
        <f t="shared" si="1"/>
        <v>110-230</v>
      </c>
      <c r="D46" t="s">
        <v>5</v>
      </c>
      <c r="E46" s="2">
        <f>IF(B46&gt;0,INDEX('PGA Shot Table'!$B$2:$G$137,MATCH(Example!B46,'PGA Shot Table'!$A$2:$A$137,0),MATCH(Example!D46,'PGA Shot Table'!$B$1:$G$1,0)),0)</f>
        <v>3.79</v>
      </c>
      <c r="F46" s="2">
        <f t="shared" si="2"/>
        <v>0.12000000000000011</v>
      </c>
    </row>
    <row r="47" spans="1:6" x14ac:dyDescent="0.2">
      <c r="B47">
        <v>30</v>
      </c>
      <c r="C47" t="str">
        <f t="shared" si="1"/>
        <v>25-50</v>
      </c>
      <c r="D47" t="s">
        <v>3</v>
      </c>
      <c r="E47" s="2">
        <f>IF(B47&gt;0,INDEX('PGA Shot Table'!$B$2:$G$137,MATCH(Example!B47,'PGA Shot Table'!$A$2:$A$137,0),MATCH(Example!D47,'PGA Shot Table'!$B$1:$G$1,0)),0)</f>
        <v>2.67</v>
      </c>
      <c r="F47" s="2">
        <f t="shared" si="2"/>
        <v>-0.1100000000000001</v>
      </c>
    </row>
    <row r="48" spans="1:6" x14ac:dyDescent="0.2">
      <c r="B48">
        <v>15</v>
      </c>
      <c r="C48" t="str">
        <f t="shared" si="1"/>
        <v>8-15</v>
      </c>
      <c r="D48" t="s">
        <v>6</v>
      </c>
      <c r="E48" s="2">
        <f>IF(B48&gt;0,INDEX('PGA Shot Table'!$B$2:$G$137,MATCH(Example!B48,'PGA Shot Table'!$A$2:$A$137,0),MATCH(Example!D48,'PGA Shot Table'!$B$1:$G$1,0)),0)</f>
        <v>1.78</v>
      </c>
      <c r="F48" s="2">
        <f t="shared" si="2"/>
        <v>-0.26</v>
      </c>
    </row>
    <row r="49" spans="1:6" x14ac:dyDescent="0.2">
      <c r="B49">
        <v>3</v>
      </c>
      <c r="C49" t="str">
        <f t="shared" si="1"/>
        <v>0-8</v>
      </c>
      <c r="D49" t="s">
        <v>6</v>
      </c>
      <c r="E49" s="2">
        <f>IF(B49&gt;0,INDEX('PGA Shot Table'!$B$2:$G$137,MATCH(Example!B49,'PGA Shot Table'!$A$2:$A$137,0),MATCH(Example!D49,'PGA Shot Table'!$B$1:$G$1,0)),0)</f>
        <v>1.04</v>
      </c>
      <c r="F49" s="2">
        <f t="shared" si="2"/>
        <v>4.0000000000000036E-2</v>
      </c>
    </row>
    <row r="50" spans="1:6" x14ac:dyDescent="0.2">
      <c r="A50" t="s">
        <v>17</v>
      </c>
      <c r="B50">
        <v>220</v>
      </c>
      <c r="C50" t="str">
        <f t="shared" si="1"/>
        <v>110-230</v>
      </c>
      <c r="D50" t="s">
        <v>2</v>
      </c>
      <c r="E50" s="2">
        <f>IF(B50&gt;0,INDEX('PGA Shot Table'!$B$2:$G$137,MATCH(Example!B50,'PGA Shot Table'!$A$2:$A$137,0),MATCH(Example!D50,'PGA Shot Table'!$B$1:$G$1,0)),0)</f>
        <v>3.32</v>
      </c>
      <c r="F50" s="2">
        <f t="shared" si="2"/>
        <v>1.0899999999999999</v>
      </c>
    </row>
    <row r="51" spans="1:6" x14ac:dyDescent="0.2">
      <c r="B51">
        <v>5</v>
      </c>
      <c r="C51" t="str">
        <f t="shared" si="1"/>
        <v>0-8</v>
      </c>
      <c r="D51" t="s">
        <v>6</v>
      </c>
      <c r="E51" s="2">
        <f>IF(B51&gt;0,INDEX('PGA Shot Table'!$B$2:$G$137,MATCH(Example!B51,'PGA Shot Table'!$A$2:$A$137,0),MATCH(Example!D51,'PGA Shot Table'!$B$1:$G$1,0)),0)</f>
        <v>1.23</v>
      </c>
      <c r="F51" s="2">
        <f t="shared" si="2"/>
        <v>-0.79</v>
      </c>
    </row>
    <row r="52" spans="1:6" x14ac:dyDescent="0.2">
      <c r="B52">
        <v>2</v>
      </c>
      <c r="C52" t="str">
        <f t="shared" si="1"/>
        <v>0-8</v>
      </c>
      <c r="D52" t="s">
        <v>6</v>
      </c>
      <c r="E52" s="2">
        <f>IF(B52&gt;0,INDEX('PGA Shot Table'!$B$2:$G$137,MATCH(Example!B52,'PGA Shot Table'!$A$2:$A$137,0),MATCH(Example!D52,'PGA Shot Table'!$B$1:$G$1,0)),0)</f>
        <v>1.02</v>
      </c>
      <c r="F52" s="2">
        <f t="shared" si="2"/>
        <v>2.0000000000000018E-2</v>
      </c>
    </row>
    <row r="53" spans="1:6" x14ac:dyDescent="0.2">
      <c r="A53" t="s">
        <v>18</v>
      </c>
      <c r="B53">
        <v>400</v>
      </c>
      <c r="C53" t="str">
        <f t="shared" si="1"/>
        <v>&gt;230</v>
      </c>
      <c r="D53" t="s">
        <v>1</v>
      </c>
      <c r="E53" s="2">
        <f>IF(B53&gt;0,INDEX('PGA Shot Table'!$B$2:$G$137,MATCH(Example!B53,'PGA Shot Table'!$A$2:$A$137,0),MATCH(Example!D53,'PGA Shot Table'!$B$1:$G$1,0)),0)</f>
        <v>3.99</v>
      </c>
      <c r="F53" s="2">
        <f t="shared" si="2"/>
        <v>-8.9999999999999858E-2</v>
      </c>
    </row>
    <row r="54" spans="1:6" x14ac:dyDescent="0.2">
      <c r="B54">
        <v>120</v>
      </c>
      <c r="C54" t="str">
        <f t="shared" si="1"/>
        <v>110-230</v>
      </c>
      <c r="D54" t="s">
        <v>3</v>
      </c>
      <c r="E54" s="2">
        <f>IF(B54&gt;0,INDEX('PGA Shot Table'!$B$2:$G$137,MATCH(Example!B54,'PGA Shot Table'!$A$2:$A$137,0),MATCH(Example!D54,'PGA Shot Table'!$B$1:$G$1,0)),0)</f>
        <v>3.08</v>
      </c>
      <c r="F54" s="2">
        <f t="shared" si="2"/>
        <v>-0.62000000000000011</v>
      </c>
    </row>
    <row r="55" spans="1:6" x14ac:dyDescent="0.2">
      <c r="B55">
        <v>60</v>
      </c>
      <c r="C55" t="str">
        <f t="shared" si="1"/>
        <v>50-110</v>
      </c>
      <c r="D55" t="s">
        <v>2</v>
      </c>
      <c r="E55" s="2">
        <f>IF(B55&gt;0,INDEX('PGA Shot Table'!$B$2:$G$137,MATCH(Example!B55,'PGA Shot Table'!$A$2:$A$137,0),MATCH(Example!D55,'PGA Shot Table'!$B$1:$G$1,0)),0)</f>
        <v>2.7</v>
      </c>
      <c r="F55" s="2">
        <f t="shared" si="2"/>
        <v>-0.21999999999999975</v>
      </c>
    </row>
    <row r="56" spans="1:6" x14ac:dyDescent="0.2">
      <c r="B56">
        <v>25</v>
      </c>
      <c r="C56" t="str">
        <f t="shared" si="1"/>
        <v>15-25</v>
      </c>
      <c r="D56" t="s">
        <v>6</v>
      </c>
      <c r="E56" s="2">
        <f>IF(B56&gt;0,INDEX('PGA Shot Table'!$B$2:$G$137,MATCH(Example!B56,'PGA Shot Table'!$A$2:$A$137,0),MATCH(Example!D56,'PGA Shot Table'!$B$1:$G$1,0)),0)</f>
        <v>1.92</v>
      </c>
      <c r="F56" s="2">
        <f t="shared" si="2"/>
        <v>-0.31000000000000005</v>
      </c>
    </row>
    <row r="57" spans="1:6" x14ac:dyDescent="0.2">
      <c r="B57">
        <v>5</v>
      </c>
      <c r="C57" t="str">
        <f t="shared" si="1"/>
        <v>0-8</v>
      </c>
      <c r="D57" t="s">
        <v>6</v>
      </c>
      <c r="E57" s="2">
        <f>IF(B57&gt;0,INDEX('PGA Shot Table'!$B$2:$G$137,MATCH(Example!B57,'PGA Shot Table'!$A$2:$A$137,0),MATCH(Example!D57,'PGA Shot Table'!$B$1:$G$1,0)),0)</f>
        <v>1.23</v>
      </c>
      <c r="F57" s="2">
        <f t="shared" si="2"/>
        <v>-0.79</v>
      </c>
    </row>
    <row r="58" spans="1:6" x14ac:dyDescent="0.2">
      <c r="B58">
        <v>2</v>
      </c>
      <c r="C58" t="str">
        <f t="shared" si="1"/>
        <v>0-8</v>
      </c>
      <c r="D58" t="s">
        <v>6</v>
      </c>
      <c r="E58" s="2">
        <f>IF(B58&gt;0,INDEX('PGA Shot Table'!$B$2:$G$137,MATCH(Example!B58,'PGA Shot Table'!$A$2:$A$137,0),MATCH(Example!D58,'PGA Shot Table'!$B$1:$G$1,0)),0)</f>
        <v>1.02</v>
      </c>
      <c r="F58" s="2">
        <f t="shared" si="2"/>
        <v>2.0000000000000018E-2</v>
      </c>
    </row>
    <row r="59" spans="1:6" x14ac:dyDescent="0.2">
      <c r="A59" t="s">
        <v>19</v>
      </c>
      <c r="B59">
        <v>400</v>
      </c>
      <c r="C59" t="str">
        <f t="shared" si="1"/>
        <v>&gt;230</v>
      </c>
      <c r="D59" t="s">
        <v>1</v>
      </c>
      <c r="E59" s="2">
        <f>IF(B59&gt;0,INDEX('PGA Shot Table'!$B$2:$G$137,MATCH(Example!B59,'PGA Shot Table'!$A$2:$A$137,0),MATCH(Example!D59,'PGA Shot Table'!$B$1:$G$1,0)),0)</f>
        <v>3.99</v>
      </c>
      <c r="F59" s="2">
        <f t="shared" si="2"/>
        <v>-8.9999999999999858E-2</v>
      </c>
    </row>
    <row r="60" spans="1:6" x14ac:dyDescent="0.2">
      <c r="B60">
        <v>180</v>
      </c>
      <c r="C60" t="str">
        <f t="shared" si="1"/>
        <v>110-230</v>
      </c>
      <c r="D60" t="s">
        <v>2</v>
      </c>
      <c r="E60" s="2">
        <f>IF(B60&gt;0,INDEX('PGA Shot Table'!$B$2:$G$137,MATCH(Example!B60,'PGA Shot Table'!$A$2:$A$137,0),MATCH(Example!D60,'PGA Shot Table'!$B$1:$G$1,0)),0)</f>
        <v>3.08</v>
      </c>
      <c r="F60" s="2">
        <f t="shared" si="2"/>
        <v>0.30000000000000004</v>
      </c>
    </row>
    <row r="61" spans="1:6" x14ac:dyDescent="0.2">
      <c r="B61">
        <v>15</v>
      </c>
      <c r="C61" t="str">
        <f t="shared" si="1"/>
        <v>8-15</v>
      </c>
      <c r="D61" t="s">
        <v>6</v>
      </c>
      <c r="E61" s="2">
        <f>IF(B61&gt;0,INDEX('PGA Shot Table'!$B$2:$G$137,MATCH(Example!B61,'PGA Shot Table'!$A$2:$A$137,0),MATCH(Example!D61,'PGA Shot Table'!$B$1:$G$1,0)),0)</f>
        <v>1.78</v>
      </c>
      <c r="F61" s="2">
        <f t="shared" si="2"/>
        <v>-0.34999999999999987</v>
      </c>
    </row>
    <row r="62" spans="1:6" x14ac:dyDescent="0.2">
      <c r="B62">
        <v>4</v>
      </c>
      <c r="C62" t="str">
        <f t="shared" si="1"/>
        <v>0-8</v>
      </c>
      <c r="D62" t="s">
        <v>6</v>
      </c>
      <c r="E62" s="2">
        <f>IF(B62&gt;0,INDEX('PGA Shot Table'!$B$2:$G$137,MATCH(Example!B62,'PGA Shot Table'!$A$2:$A$137,0),MATCH(Example!D62,'PGA Shot Table'!$B$1:$G$1,0)),0)</f>
        <v>1.1299999999999999</v>
      </c>
      <c r="F62" s="2">
        <f t="shared" si="2"/>
        <v>-0.89000000000000012</v>
      </c>
    </row>
    <row r="63" spans="1:6" x14ac:dyDescent="0.2">
      <c r="B63">
        <v>2</v>
      </c>
      <c r="C63" t="str">
        <f t="shared" si="1"/>
        <v>0-8</v>
      </c>
      <c r="D63" t="s">
        <v>6</v>
      </c>
      <c r="E63" s="2">
        <f>IF(B63&gt;0,INDEX('PGA Shot Table'!$B$2:$G$137,MATCH(Example!B63,'PGA Shot Table'!$A$2:$A$137,0),MATCH(Example!D63,'PGA Shot Table'!$B$1:$G$1,0)),0)</f>
        <v>1.02</v>
      </c>
      <c r="F63" s="2">
        <f t="shared" si="2"/>
        <v>2.0000000000000018E-2</v>
      </c>
    </row>
    <row r="64" spans="1:6" x14ac:dyDescent="0.2">
      <c r="A64" t="s">
        <v>20</v>
      </c>
      <c r="B64">
        <v>530</v>
      </c>
      <c r="C64" t="str">
        <f t="shared" si="1"/>
        <v>&gt;230</v>
      </c>
      <c r="D64" t="s">
        <v>1</v>
      </c>
      <c r="E64" s="2">
        <f>IF(B64&gt;0,INDEX('PGA Shot Table'!$B$2:$G$137,MATCH(Example!B64,'PGA Shot Table'!$A$2:$A$137,0),MATCH(Example!D64,'PGA Shot Table'!$B$1:$G$1,0)),0)</f>
        <v>4.5999999999999996</v>
      </c>
      <c r="F64" s="2">
        <f t="shared" si="2"/>
        <v>0.20999999999999952</v>
      </c>
    </row>
    <row r="65" spans="1:6" x14ac:dyDescent="0.2">
      <c r="B65">
        <v>230</v>
      </c>
      <c r="C65" t="str">
        <f t="shared" si="1"/>
        <v>110-230</v>
      </c>
      <c r="D65" t="s">
        <v>2</v>
      </c>
      <c r="E65" s="2">
        <f>IF(B65&gt;0,INDEX('PGA Shot Table'!$B$2:$G$137,MATCH(Example!B65,'PGA Shot Table'!$A$2:$A$137,0),MATCH(Example!D65,'PGA Shot Table'!$B$1:$G$1,0)),0)</f>
        <v>3.39</v>
      </c>
      <c r="F65" s="2">
        <f t="shared" si="2"/>
        <v>-0.54999999999999982</v>
      </c>
    </row>
    <row r="66" spans="1:6" x14ac:dyDescent="0.2">
      <c r="B66">
        <v>70</v>
      </c>
      <c r="C66" t="str">
        <f t="shared" si="1"/>
        <v>50-110</v>
      </c>
      <c r="D66" t="s">
        <v>3</v>
      </c>
      <c r="E66" s="2">
        <f>IF(B66&gt;0,INDEX('PGA Shot Table'!$B$2:$G$137,MATCH(Example!B66,'PGA Shot Table'!$A$2:$A$137,0),MATCH(Example!D66,'PGA Shot Table'!$B$1:$G$1,0)),0)</f>
        <v>2.94</v>
      </c>
      <c r="F66" s="2">
        <f t="shared" ref="F66:F71" si="3">IF(A67&lt;&gt;"", E66-1, E66-E67-1)</f>
        <v>6.999999999999984E-2</v>
      </c>
    </row>
    <row r="67" spans="1:6" x14ac:dyDescent="0.2">
      <c r="B67">
        <v>20</v>
      </c>
      <c r="C67" t="str">
        <f t="shared" ref="C67:C83" si="4">IF(B67&gt;230,"&gt;230",IF(B67&gt;110,"110-230",IF(B67&gt;50,"50-110",IF(B67&gt;25,"25-50",IF(B67&gt;15,"15-25",IF(B67&gt;8,"8-15",IF(B67&gt;0,"0-8")))))))</f>
        <v>15-25</v>
      </c>
      <c r="D67" t="s">
        <v>6</v>
      </c>
      <c r="E67" s="2">
        <f>IF(B67&gt;0,INDEX('PGA Shot Table'!$B$2:$G$137,MATCH(Example!B67,'PGA Shot Table'!$A$2:$A$137,0),MATCH(Example!D67,'PGA Shot Table'!$B$1:$G$1,0)),0)</f>
        <v>1.87</v>
      </c>
      <c r="F67" s="2">
        <f t="shared" si="3"/>
        <v>-0.16999999999999993</v>
      </c>
    </row>
    <row r="68" spans="1:6" x14ac:dyDescent="0.2">
      <c r="B68">
        <v>3</v>
      </c>
      <c r="C68" t="str">
        <f t="shared" si="4"/>
        <v>0-8</v>
      </c>
      <c r="D68" t="s">
        <v>6</v>
      </c>
      <c r="E68" s="2">
        <f>IF(B68&gt;0,INDEX('PGA Shot Table'!$B$2:$G$137,MATCH(Example!B68,'PGA Shot Table'!$A$2:$A$137,0),MATCH(Example!D68,'PGA Shot Table'!$B$1:$G$1,0)),0)</f>
        <v>1.04</v>
      </c>
      <c r="F68" s="2">
        <f t="shared" si="3"/>
        <v>4.0000000000000036E-2</v>
      </c>
    </row>
    <row r="69" spans="1:6" x14ac:dyDescent="0.2">
      <c r="A69" t="s">
        <v>21</v>
      </c>
      <c r="B69">
        <v>170</v>
      </c>
      <c r="C69" t="str">
        <f t="shared" si="4"/>
        <v>110-230</v>
      </c>
      <c r="D69" t="s">
        <v>1</v>
      </c>
      <c r="E69" s="2">
        <f>IF(B69&gt;0,INDEX('PGA Shot Table'!$B$2:$G$137,MATCH(Example!B69,'PGA Shot Table'!$A$2:$A$137,0),MATCH(Example!D69,'PGA Shot Table'!$B$1:$G$1,0)),0)</f>
        <v>3.02</v>
      </c>
      <c r="F69" s="2">
        <f t="shared" si="3"/>
        <v>4.0000000000000036E-2</v>
      </c>
    </row>
    <row r="70" spans="1:6" x14ac:dyDescent="0.2">
      <c r="B70">
        <v>30</v>
      </c>
      <c r="C70" t="str">
        <f t="shared" si="4"/>
        <v>25-50</v>
      </c>
      <c r="D70" t="s">
        <v>6</v>
      </c>
      <c r="E70" s="2">
        <f>IF(B70&gt;0,INDEX('PGA Shot Table'!$B$2:$G$137,MATCH(Example!B70,'PGA Shot Table'!$A$2:$A$137,0),MATCH(Example!D70,'PGA Shot Table'!$B$1:$G$1,0)),0)</f>
        <v>1.98</v>
      </c>
      <c r="F70" s="2">
        <f t="shared" si="3"/>
        <v>-0.14999999999999991</v>
      </c>
    </row>
    <row r="71" spans="1:6" x14ac:dyDescent="0.2">
      <c r="B71">
        <v>4</v>
      </c>
      <c r="C71" t="str">
        <f t="shared" si="4"/>
        <v>0-8</v>
      </c>
      <c r="D71" t="s">
        <v>6</v>
      </c>
      <c r="E71" s="2">
        <f>IF(B71&gt;0,INDEX('PGA Shot Table'!$B$2:$G$137,MATCH(Example!B71,'PGA Shot Table'!$A$2:$A$137,0),MATCH(Example!D71,'PGA Shot Table'!$B$1:$G$1,0)),0)</f>
        <v>1.1299999999999999</v>
      </c>
      <c r="F71" s="2">
        <f t="shared" si="3"/>
        <v>0.12999999999999989</v>
      </c>
    </row>
    <row r="72" spans="1:6" x14ac:dyDescent="0.2">
      <c r="A72" t="s">
        <v>22</v>
      </c>
      <c r="B72">
        <v>365</v>
      </c>
      <c r="C72" t="str">
        <f t="shared" si="4"/>
        <v>&gt;230</v>
      </c>
      <c r="D72" t="s">
        <v>1</v>
      </c>
      <c r="E72" s="2">
        <f>IF(B72&gt;0,INDEX('PGA Shot Table'!$B$2:$G$137,MATCH(Example!B72,'PGA Shot Table'!$A$2:$A$137,0),MATCH(Example!D72,'PGA Shot Table'!$B$1:$G$1,0)),0)</f>
        <v>3.93</v>
      </c>
      <c r="F72" s="2">
        <v>-2</v>
      </c>
    </row>
    <row r="73" spans="1:6" x14ac:dyDescent="0.2">
      <c r="B73">
        <v>365</v>
      </c>
      <c r="C73" t="str">
        <f t="shared" si="4"/>
        <v>&gt;230</v>
      </c>
      <c r="D73" t="s">
        <v>1</v>
      </c>
      <c r="E73" s="2">
        <f>IF(B73&gt;0,INDEX('PGA Shot Table'!$B$2:$G$137,MATCH(Example!B73,'PGA Shot Table'!$A$2:$A$137,0),MATCH(Example!D73,'PGA Shot Table'!$B$1:$G$1,0)),0)</f>
        <v>3.93</v>
      </c>
      <c r="F73" s="2">
        <f t="shared" ref="F73:F83" si="5">IF(A74&lt;&gt;"", E73-1, E73-E74-1)</f>
        <v>8.0000000000000071E-2</v>
      </c>
    </row>
    <row r="74" spans="1:6" x14ac:dyDescent="0.2">
      <c r="B74">
        <v>120</v>
      </c>
      <c r="C74" t="str">
        <f t="shared" si="4"/>
        <v>110-230</v>
      </c>
      <c r="D74" t="s">
        <v>2</v>
      </c>
      <c r="E74" s="2">
        <f>IF(B74&gt;0,INDEX('PGA Shot Table'!$B$2:$G$137,MATCH(Example!B74,'PGA Shot Table'!$A$2:$A$137,0),MATCH(Example!D74,'PGA Shot Table'!$B$1:$G$1,0)),0)</f>
        <v>2.85</v>
      </c>
      <c r="F74" s="2">
        <f t="shared" si="5"/>
        <v>7.0000000000000062E-2</v>
      </c>
    </row>
    <row r="75" spans="1:6" x14ac:dyDescent="0.2">
      <c r="B75">
        <v>15</v>
      </c>
      <c r="C75" t="str">
        <f t="shared" si="4"/>
        <v>8-15</v>
      </c>
      <c r="D75" t="s">
        <v>6</v>
      </c>
      <c r="E75" s="2">
        <f>IF(B75&gt;0,INDEX('PGA Shot Table'!$B$2:$G$137,MATCH(Example!B75,'PGA Shot Table'!$A$2:$A$137,0),MATCH(Example!D75,'PGA Shot Table'!$B$1:$G$1,0)),0)</f>
        <v>1.78</v>
      </c>
      <c r="F75" s="2">
        <f t="shared" si="5"/>
        <v>-0.26</v>
      </c>
    </row>
    <row r="76" spans="1:6" x14ac:dyDescent="0.2">
      <c r="B76">
        <v>3</v>
      </c>
      <c r="C76" t="str">
        <f t="shared" si="4"/>
        <v>0-8</v>
      </c>
      <c r="D76" t="s">
        <v>6</v>
      </c>
      <c r="E76" s="2">
        <f>IF(B76&gt;0,INDEX('PGA Shot Table'!$B$2:$G$137,MATCH(Example!B76,'PGA Shot Table'!$A$2:$A$137,0),MATCH(Example!D76,'PGA Shot Table'!$B$1:$G$1,0)),0)</f>
        <v>1.04</v>
      </c>
      <c r="F76" s="2">
        <f t="shared" si="5"/>
        <v>4.0000000000000036E-2</v>
      </c>
    </row>
    <row r="77" spans="1:6" x14ac:dyDescent="0.2">
      <c r="A77" t="s">
        <v>23</v>
      </c>
      <c r="B77">
        <v>450</v>
      </c>
      <c r="C77" t="str">
        <f t="shared" si="4"/>
        <v>&gt;230</v>
      </c>
      <c r="D77" t="s">
        <v>1</v>
      </c>
      <c r="E77" s="2">
        <f>IF(B77&gt;0,INDEX('PGA Shot Table'!$B$2:$G$137,MATCH(Example!B77,'PGA Shot Table'!$A$2:$A$137,0),MATCH(Example!D77,'PGA Shot Table'!$B$1:$G$1,0)),0)</f>
        <v>4.13</v>
      </c>
      <c r="F77" s="2">
        <f t="shared" si="5"/>
        <v>-0.24000000000000021</v>
      </c>
    </row>
    <row r="78" spans="1:6" x14ac:dyDescent="0.2">
      <c r="B78">
        <v>190</v>
      </c>
      <c r="C78" t="str">
        <f t="shared" si="4"/>
        <v>110-230</v>
      </c>
      <c r="D78" t="s">
        <v>3</v>
      </c>
      <c r="E78" s="2">
        <f>IF(B78&gt;0,INDEX('PGA Shot Table'!$B$2:$G$137,MATCH(Example!B78,'PGA Shot Table'!$A$2:$A$137,0),MATCH(Example!D78,'PGA Shot Table'!$B$1:$G$1,0)),0)</f>
        <v>3.37</v>
      </c>
      <c r="F78" s="2">
        <f t="shared" si="5"/>
        <v>-2.9999999999999805E-2</v>
      </c>
    </row>
    <row r="79" spans="1:6" x14ac:dyDescent="0.2">
      <c r="B79">
        <v>20</v>
      </c>
      <c r="C79" t="str">
        <f t="shared" si="4"/>
        <v>15-25</v>
      </c>
      <c r="D79" t="s">
        <v>2</v>
      </c>
      <c r="E79" s="2">
        <f>IF(B79&gt;0,INDEX('PGA Shot Table'!$B$2:$G$137,MATCH(Example!B79,'PGA Shot Table'!$A$2:$A$137,0),MATCH(Example!D79,'PGA Shot Table'!$B$1:$G$1,0)),0)</f>
        <v>2.4</v>
      </c>
      <c r="F79" s="2">
        <f t="shared" si="5"/>
        <v>0.27</v>
      </c>
    </row>
    <row r="80" spans="1:6" x14ac:dyDescent="0.2">
      <c r="B80">
        <v>4</v>
      </c>
      <c r="C80" t="str">
        <f t="shared" si="4"/>
        <v>0-8</v>
      </c>
      <c r="D80" t="s">
        <v>6</v>
      </c>
      <c r="E80" s="2">
        <f>IF(B80&gt;0,INDEX('PGA Shot Table'!$B$2:$G$137,MATCH(Example!B80,'PGA Shot Table'!$A$2:$A$137,0),MATCH(Example!D80,'PGA Shot Table'!$B$1:$G$1,0)),0)</f>
        <v>1.1299999999999999</v>
      </c>
      <c r="F80" s="2">
        <f t="shared" si="5"/>
        <v>0.12999999999999989</v>
      </c>
    </row>
    <row r="81" spans="1:6" x14ac:dyDescent="0.2">
      <c r="A81" t="s">
        <v>24</v>
      </c>
      <c r="B81">
        <v>400</v>
      </c>
      <c r="C81" t="str">
        <f t="shared" si="4"/>
        <v>&gt;230</v>
      </c>
      <c r="D81" t="s">
        <v>1</v>
      </c>
      <c r="E81" s="2">
        <f>IF(B81&gt;0,INDEX('PGA Shot Table'!$B$2:$G$137,MATCH(Example!B81,'PGA Shot Table'!$A$2:$A$137,0),MATCH(Example!D81,'PGA Shot Table'!$B$1:$G$1,0)),0)</f>
        <v>3.99</v>
      </c>
      <c r="F81" s="2">
        <f t="shared" si="5"/>
        <v>-0.19999999999999973</v>
      </c>
    </row>
    <row r="82" spans="1:6" x14ac:dyDescent="0.2">
      <c r="B82">
        <v>150</v>
      </c>
      <c r="C82" t="str">
        <f t="shared" si="4"/>
        <v>110-230</v>
      </c>
      <c r="D82" t="s">
        <v>3</v>
      </c>
      <c r="E82" s="2">
        <f>IF(B82&gt;0,INDEX('PGA Shot Table'!$B$2:$G$137,MATCH(Example!B82,'PGA Shot Table'!$A$2:$A$137,0),MATCH(Example!D82,'PGA Shot Table'!$B$1:$G$1,0)),0)</f>
        <v>3.19</v>
      </c>
      <c r="F82" s="2">
        <f t="shared" si="5"/>
        <v>4.9999999999999822E-2</v>
      </c>
    </row>
    <row r="83" spans="1:6" x14ac:dyDescent="0.2">
      <c r="B83">
        <v>50</v>
      </c>
      <c r="C83" t="str">
        <f t="shared" si="4"/>
        <v>25-50</v>
      </c>
      <c r="D83" t="s">
        <v>6</v>
      </c>
      <c r="E83" s="2">
        <f>IF(B83&gt;0,INDEX('PGA Shot Table'!$B$2:$G$137,MATCH(Example!B83,'PGA Shot Table'!$A$2:$A$137,0),MATCH(Example!D83,'PGA Shot Table'!$B$1:$G$1,0)),0)</f>
        <v>2.14</v>
      </c>
      <c r="F83" s="2">
        <f t="shared" si="5"/>
        <v>1.1400000000000001</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DC59297-90D5-420D-BF56-2FDBEA9CA8CA}">
          <x14:formula1>
            <xm:f>'Lie Table'!$A$1:$A$6</xm:f>
          </x14:formula1>
          <xm:sqref>H2:H6 D2:D84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A8E4A-B07C-416D-8999-6B2B68DB6306}">
  <sheetPr codeName="Sheet4"/>
  <dimension ref="A3:H13"/>
  <sheetViews>
    <sheetView workbookViewId="0">
      <selection activeCell="B15" sqref="B15"/>
    </sheetView>
  </sheetViews>
  <sheetFormatPr baseColWidth="10" defaultColWidth="8.83203125" defaultRowHeight="15" x14ac:dyDescent="0.2"/>
  <cols>
    <col min="1" max="1" width="13.1640625" bestFit="1" customWidth="1"/>
    <col min="2" max="2" width="16.33203125" bestFit="1" customWidth="1"/>
    <col min="3" max="3" width="5.6640625" bestFit="1" customWidth="1"/>
    <col min="5" max="5" width="6.6640625" bestFit="1" customWidth="1"/>
    <col min="6" max="6" width="5.6640625" bestFit="1" customWidth="1"/>
    <col min="7" max="7" width="7.33203125" bestFit="1" customWidth="1"/>
    <col min="8" max="8" width="11.33203125" bestFit="1" customWidth="1"/>
  </cols>
  <sheetData>
    <row r="3" spans="1:8" x14ac:dyDescent="0.2">
      <c r="A3" s="1" t="s">
        <v>29</v>
      </c>
      <c r="B3" s="1" t="s">
        <v>30</v>
      </c>
    </row>
    <row r="4" spans="1:8" x14ac:dyDescent="0.2">
      <c r="A4" s="1" t="s">
        <v>33</v>
      </c>
      <c r="B4" t="s">
        <v>2</v>
      </c>
      <c r="C4" t="s">
        <v>6</v>
      </c>
      <c r="D4" t="s">
        <v>5</v>
      </c>
      <c r="E4" t="s">
        <v>3</v>
      </c>
      <c r="F4" t="s">
        <v>1</v>
      </c>
      <c r="G4" t="s">
        <v>31</v>
      </c>
      <c r="H4" t="s">
        <v>32</v>
      </c>
    </row>
    <row r="5" spans="1:8" x14ac:dyDescent="0.2">
      <c r="A5" s="3" t="s">
        <v>39</v>
      </c>
      <c r="C5">
        <v>-4.8800000000000026</v>
      </c>
      <c r="H5">
        <v>-4.8800000000000026</v>
      </c>
    </row>
    <row r="6" spans="1:8" x14ac:dyDescent="0.2">
      <c r="A6" s="3" t="s">
        <v>41</v>
      </c>
      <c r="B6">
        <v>0.21000000000000041</v>
      </c>
      <c r="C6">
        <v>-1.1099999999999999</v>
      </c>
      <c r="H6">
        <v>-0.89999999999999947</v>
      </c>
    </row>
    <row r="7" spans="1:8" x14ac:dyDescent="0.2">
      <c r="A7" s="3" t="s">
        <v>40</v>
      </c>
      <c r="B7">
        <v>0.1100000000000001</v>
      </c>
      <c r="C7">
        <v>-0.48</v>
      </c>
      <c r="H7">
        <v>-0.36999999999999988</v>
      </c>
    </row>
    <row r="8" spans="1:8" x14ac:dyDescent="0.2">
      <c r="A8" s="3" t="s">
        <v>37</v>
      </c>
      <c r="B8">
        <v>-0.95000000000000018</v>
      </c>
      <c r="C8">
        <v>0.78000000000000025</v>
      </c>
      <c r="E8">
        <v>1.0999999999999996</v>
      </c>
      <c r="H8">
        <v>0.92999999999999972</v>
      </c>
    </row>
    <row r="9" spans="1:8" x14ac:dyDescent="0.2">
      <c r="A9" s="3" t="s">
        <v>38</v>
      </c>
      <c r="B9">
        <v>-0.54</v>
      </c>
      <c r="E9">
        <v>-8.0000000000000515E-2</v>
      </c>
      <c r="H9">
        <v>-0.62000000000000055</v>
      </c>
    </row>
    <row r="10" spans="1:8" x14ac:dyDescent="0.2">
      <c r="A10" s="3" t="s">
        <v>36</v>
      </c>
      <c r="B10">
        <v>-0.16999999999999904</v>
      </c>
      <c r="D10">
        <v>0.12000000000000011</v>
      </c>
      <c r="E10">
        <v>-1.2399999999999998</v>
      </c>
      <c r="F10">
        <v>4.0000000000000036E-2</v>
      </c>
      <c r="H10">
        <v>-1.2499999999999987</v>
      </c>
    </row>
    <row r="11" spans="1:8" x14ac:dyDescent="0.2">
      <c r="A11" s="3" t="s">
        <v>35</v>
      </c>
      <c r="B11">
        <v>-0.41999999999999993</v>
      </c>
      <c r="D11">
        <v>-0.61999999999999966</v>
      </c>
      <c r="F11">
        <v>-4.41</v>
      </c>
      <c r="H11">
        <v>-5.4499999999999993</v>
      </c>
    </row>
    <row r="12" spans="1:8" x14ac:dyDescent="0.2">
      <c r="A12" s="3" t="s">
        <v>31</v>
      </c>
    </row>
    <row r="13" spans="1:8" x14ac:dyDescent="0.2">
      <c r="A13" s="3" t="s">
        <v>32</v>
      </c>
      <c r="B13">
        <v>-1.7599999999999987</v>
      </c>
      <c r="C13">
        <v>-5.6900000000000022</v>
      </c>
      <c r="D13">
        <v>-0.49999999999999956</v>
      </c>
      <c r="E13">
        <v>-0.22000000000000064</v>
      </c>
      <c r="F13">
        <v>-4.37</v>
      </c>
      <c r="H13">
        <v>-12.540000000000001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5646A3562532824EBECE7E67AEEE47E1" ma:contentTypeVersion="7" ma:contentTypeDescription="Create a new document." ma:contentTypeScope="" ma:versionID="f249703d4f147d8eee660013542e33d4">
  <xsd:schema xmlns:xsd="http://www.w3.org/2001/XMLSchema" xmlns:xs="http://www.w3.org/2001/XMLSchema" xmlns:p="http://schemas.microsoft.com/office/2006/metadata/properties" xmlns:ns3="a51b76fb-055f-4cb3-bf2b-56a769ed01d8" targetNamespace="http://schemas.microsoft.com/office/2006/metadata/properties" ma:root="true" ma:fieldsID="f7ab3bb182513234e5e11156169fca11" ns3:_="">
    <xsd:import namespace="a51b76fb-055f-4cb3-bf2b-56a769ed01d8"/>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1b76fb-055f-4cb3-bf2b-56a769ed01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B3F8595-E646-472C-823A-E3A8A0E3DBB5}">
  <ds:schemaRefs>
    <ds:schemaRef ds:uri="a51b76fb-055f-4cb3-bf2b-56a769ed01d8"/>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purl.org/dc/term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B3A0F81A-CB30-4C0C-8E16-1CC048AACD58}">
  <ds:schemaRefs>
    <ds:schemaRef ds:uri="http://schemas.microsoft.com/DataMashup"/>
  </ds:schemaRefs>
</ds:datastoreItem>
</file>

<file path=customXml/itemProps3.xml><?xml version="1.0" encoding="utf-8"?>
<ds:datastoreItem xmlns:ds="http://schemas.openxmlformats.org/officeDocument/2006/customXml" ds:itemID="{4635EC18-AFBE-48F9-B093-35F2025F5E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1b76fb-055f-4cb3-bf2b-56a769ed01d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D528995-2878-405C-B487-461ADEAF4A7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READ ME</vt:lpstr>
      <vt:lpstr>Lie Table</vt:lpstr>
      <vt:lpstr>PGA Shot Table</vt:lpstr>
      <vt:lpstr>Template</vt:lpstr>
      <vt:lpstr>Example</vt:lpstr>
      <vt:lpstr>Example PivotTable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Thacker, Dyson</dc:creator>
  <cp:lastModifiedBy>Dyson Thacker</cp:lastModifiedBy>
  <dcterms:created xsi:type="dcterms:W3CDTF">2022-06-23T13:57:20Z</dcterms:created>
  <dcterms:modified xsi:type="dcterms:W3CDTF">2024-04-05T16:11:06Z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0x0101005646A3562532824EBECE7E67AEEE47E1</vt:lpwstr>
  </property>
</Properties>
</file>